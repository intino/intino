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oroncal/workspace/research/quassar/experiment/datasets/"/>
    </mc:Choice>
  </mc:AlternateContent>
  <xr:revisionPtr revIDLastSave="0" documentId="13_ncr:1_{A2682BB9-34EC-EE45-965A-E25F77548568}" xr6:coauthVersionLast="47" xr6:coauthVersionMax="47" xr10:uidLastSave="{00000000-0000-0000-0000-000000000000}"/>
  <bookViews>
    <workbookView xWindow="2600" yWindow="1000" windowWidth="27640" windowHeight="16940" xr2:uid="{00000000-000D-0000-FFFF-FFFF00000000}"/>
  </bookViews>
  <sheets>
    <sheet name="Questionary" sheetId="1" r:id="rId1"/>
    <sheet name="Task" sheetId="2" r:id="rId2"/>
    <sheet name="Summary" sheetId="3" r:id="rId3"/>
  </sheets>
  <definedNames>
    <definedName name="_xlnm._FilterDatabase" localSheetId="1" hidden="1">Task!$A$1:$E$1</definedName>
    <definedName name="Intino_Usability_Study__respuestas____Respuestas_de_formulario_1" localSheetId="0">Questionary!$A$2:$AH$21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2" l="1"/>
  <c r="D30" i="2"/>
  <c r="D31" i="2"/>
  <c r="F30" i="2"/>
  <c r="F31" i="2"/>
  <c r="F29" i="2"/>
  <c r="D28" i="2"/>
  <c r="F28" i="2" s="1"/>
  <c r="D27" i="2"/>
  <c r="F27" i="2" s="1"/>
  <c r="D26" i="2"/>
  <c r="F26" i="2" s="1"/>
  <c r="D25" i="2"/>
  <c r="F25" i="2" s="1"/>
  <c r="D24" i="2"/>
  <c r="F24" i="2" s="1"/>
  <c r="D23" i="2"/>
  <c r="F23" i="2" s="1"/>
  <c r="D22" i="2"/>
  <c r="F22" i="2" s="1"/>
  <c r="D21" i="2"/>
  <c r="D20" i="2"/>
  <c r="D19" i="2"/>
  <c r="L3" i="2"/>
  <c r="X23" i="1"/>
  <c r="X24" i="1"/>
  <c r="X25" i="1"/>
  <c r="X26" i="1"/>
  <c r="X27" i="1"/>
  <c r="X28" i="1"/>
  <c r="X29" i="1"/>
  <c r="X30" i="1"/>
  <c r="X31" i="1"/>
  <c r="X32" i="1"/>
  <c r="B36" i="3" a="1"/>
  <c r="B36" i="3" s="1"/>
  <c r="L4" i="2" l="1"/>
  <c r="L5" i="2" s="1"/>
  <c r="L2" i="2"/>
  <c r="L1" i="2"/>
  <c r="C33" i="3" l="1"/>
  <c r="B33" i="3"/>
  <c r="C32" i="3"/>
  <c r="B32" i="3"/>
  <c r="C31" i="3"/>
  <c r="B31" i="3"/>
  <c r="C30" i="3"/>
  <c r="B30" i="3"/>
  <c r="C29" i="3"/>
  <c r="B29" i="3"/>
  <c r="C28" i="3"/>
  <c r="B28" i="3"/>
  <c r="B24" i="3"/>
  <c r="C17" i="3"/>
  <c r="B17" i="3"/>
  <c r="B13" i="3"/>
  <c r="C11" i="3"/>
  <c r="B11" i="3"/>
  <c r="C10" i="3"/>
  <c r="B10" i="3"/>
  <c r="C9" i="3"/>
  <c r="B9" i="3"/>
  <c r="B8" i="3"/>
  <c r="B7" i="3"/>
  <c r="C6" i="3"/>
  <c r="B6" i="3"/>
  <c r="B5" i="3"/>
  <c r="B4" i="3"/>
  <c r="B3" i="3"/>
  <c r="F21" i="2"/>
  <c r="F20" i="2"/>
  <c r="F19" i="2"/>
  <c r="D18" i="2"/>
  <c r="F18" i="2" s="1"/>
  <c r="D17" i="2"/>
  <c r="F17" i="2" s="1"/>
  <c r="D16" i="2"/>
  <c r="F16" i="2" s="1"/>
  <c r="F15" i="2"/>
  <c r="D15" i="2"/>
  <c r="D14" i="2"/>
  <c r="F14" i="2" s="1"/>
  <c r="D13" i="2"/>
  <c r="F13" i="2" s="1"/>
  <c r="D12" i="2"/>
  <c r="F12" i="2" s="1"/>
  <c r="D11" i="2"/>
  <c r="F11" i="2" s="1"/>
  <c r="D10" i="2"/>
  <c r="F10" i="2" s="1"/>
  <c r="D9" i="2"/>
  <c r="F9" i="2" s="1"/>
  <c r="D8" i="2"/>
  <c r="F8" i="2" s="1"/>
  <c r="D7" i="2"/>
  <c r="F7" i="2" s="1"/>
  <c r="D6" i="2"/>
  <c r="F6" i="2" s="1"/>
  <c r="D5" i="2"/>
  <c r="F5" i="2" s="1"/>
  <c r="D4" i="2"/>
  <c r="F4" i="2" s="1"/>
  <c r="D3" i="2"/>
  <c r="F3" i="2" s="1"/>
  <c r="D2" i="2"/>
  <c r="M32" i="1"/>
  <c r="M31" i="1"/>
  <c r="M30" i="1"/>
  <c r="M29" i="1"/>
  <c r="M28" i="1"/>
  <c r="M27" i="1"/>
  <c r="M26" i="1"/>
  <c r="M25" i="1"/>
  <c r="M24" i="1"/>
  <c r="M23" i="1"/>
  <c r="X22" i="1"/>
  <c r="M22" i="1"/>
  <c r="X21" i="1"/>
  <c r="M21" i="1"/>
  <c r="X20" i="1"/>
  <c r="M20" i="1"/>
  <c r="X19" i="1"/>
  <c r="M19" i="1"/>
  <c r="X18" i="1"/>
  <c r="M18" i="1"/>
  <c r="X17" i="1"/>
  <c r="M17" i="1"/>
  <c r="X16" i="1"/>
  <c r="M16" i="1"/>
  <c r="X15" i="1"/>
  <c r="M15" i="1"/>
  <c r="X14" i="1"/>
  <c r="M14" i="1"/>
  <c r="X13" i="1"/>
  <c r="M13" i="1"/>
  <c r="X12" i="1"/>
  <c r="M12" i="1"/>
  <c r="X11" i="1"/>
  <c r="M11" i="1"/>
  <c r="X10" i="1"/>
  <c r="M10" i="1"/>
  <c r="X9" i="1"/>
  <c r="M9" i="1"/>
  <c r="X8" i="1"/>
  <c r="M8" i="1"/>
  <c r="X7" i="1"/>
  <c r="M7" i="1"/>
  <c r="X6" i="1"/>
  <c r="M6" i="1"/>
  <c r="X5" i="1"/>
  <c r="M5" i="1"/>
  <c r="X4" i="1"/>
  <c r="C23" i="3" s="1"/>
  <c r="M4" i="1"/>
  <c r="X3" i="1"/>
  <c r="M3" i="1"/>
  <c r="K1" i="2" l="1"/>
  <c r="M4" i="2"/>
  <c r="M2" i="2"/>
  <c r="F2" i="2"/>
  <c r="M3" i="2" s="1"/>
  <c r="K2" i="2"/>
  <c r="B18" i="3"/>
  <c r="C18" i="3"/>
  <c r="B23" i="3"/>
  <c r="B35" i="3" a="1"/>
  <c r="B35" i="3" s="1"/>
  <c r="M1" i="2" l="1"/>
  <c r="C19" i="3"/>
  <c r="B19" i="3"/>
  <c r="M5" i="2"/>
</calcChain>
</file>

<file path=xl/sharedStrings.xml><?xml version="1.0" encoding="utf-8"?>
<sst xmlns="http://schemas.openxmlformats.org/spreadsheetml/2006/main" count="351" uniqueCount="190">
  <si>
    <t>DEMOGRAPHIC</t>
  </si>
  <si>
    <t>SUS</t>
  </si>
  <si>
    <t>SPECIFIC QUESTIONS (SQ)</t>
  </si>
  <si>
    <t>Fecha</t>
  </si>
  <si>
    <t>Dirección de correo electrónico</t>
  </si>
  <si>
    <t xml:space="preserve">Please indicate your age </t>
  </si>
  <si>
    <t>Please indicate your gender (select one):</t>
  </si>
  <si>
    <t xml:space="preserve">Please indicate your level of education (select one): </t>
  </si>
  <si>
    <t xml:space="preserve">Have you studied any computing-related field? </t>
  </si>
  <si>
    <t>What is your current level of English?</t>
  </si>
  <si>
    <t xml:space="preserve">You are currently working in… </t>
  </si>
  <si>
    <t>Please indicate your experience (in years) in software development:</t>
  </si>
  <si>
    <t>Please indicate your experience (in years) modeling languages</t>
  </si>
  <si>
    <t>Rate your knowledge of modeling:</t>
  </si>
  <si>
    <t>Rate your level of experience in meta-modeling</t>
  </si>
  <si>
    <t>Experience</t>
  </si>
  <si>
    <t>I think I would like to use this platform frequently</t>
  </si>
  <si>
    <t>I found the tool unnecessarily complex</t>
  </si>
  <si>
    <t>I thought the tool was easy to use</t>
  </si>
  <si>
    <t>I think that I would need the support of a technical person to be able to use this platform</t>
  </si>
  <si>
    <t>I found the various functions in this platform were well integrated</t>
  </si>
  <si>
    <t>I thought there was too much inconsistency in this system</t>
  </si>
  <si>
    <t>I would imagine that most people would learn to use this tool very quickly</t>
  </si>
  <si>
    <t>I found the app very cumbersome to use</t>
  </si>
  <si>
    <t xml:space="preserve"> I felt very confident using the tool</t>
  </si>
  <si>
    <t>I needed to learn a lot of things before I could get going with this tool</t>
  </si>
  <si>
    <t>I could complete the tasks without technical assistance.</t>
  </si>
  <si>
    <t>The browser-based access reduced installation and configuration barriers.</t>
  </si>
  <si>
    <t>The setup effort to reach a first valid model was low.</t>
  </si>
  <si>
    <t>The model migration process was clear and well supported by the tool.</t>
  </si>
  <si>
    <t>Diagnostics and messages were useful to locate and fix issues.</t>
  </si>
  <si>
    <t>Editing/validation responsiveness was acceptable and did not hinder my workflow.</t>
  </si>
  <si>
    <t>What positive aspects would you highlight about the platform?</t>
  </si>
  <si>
    <t>Which entry barriers did you encounter (if any), and how would you reduce them?</t>
  </si>
  <si>
    <t>Were any features or workflows confusing or difficult? Please describe concrete situations.</t>
  </si>
  <si>
    <t>How would you integrate this platform into your educational or professional practice?</t>
  </si>
  <si>
    <t>1</t>
  </si>
  <si>
    <t>Woman</t>
  </si>
  <si>
    <t>Graduated</t>
  </si>
  <si>
    <t>Yes</t>
  </si>
  <si>
    <t>Upper-Intermediate (B2)</t>
  </si>
  <si>
    <t>Industry</t>
  </si>
  <si>
    <t>La rapidez de compilar y la sencillez</t>
  </si>
  <si>
    <t>La navegación de la documentación de ayuda es molesta sobre todo porque no se puede volver al principio cómodamente</t>
  </si>
  <si>
    <t>Mejorar la navegación de la ayuda</t>
  </si>
  <si>
    <t>2</t>
  </si>
  <si>
    <t>Man</t>
  </si>
  <si>
    <t>Master’s student</t>
  </si>
  <si>
    <t>Research center</t>
  </si>
  <si>
    <t>The tool seems useful and probably makes the creation and standardization of DSLs easier</t>
  </si>
  <si>
    <t>The way the meta-models are built is not intuitive enough and technical support could be needed. The learning curve may be steep for people that don't have enough knowledge about DSLs</t>
  </si>
  <si>
    <t>There were not confusing workflows but documentation is needed when using the platform</t>
  </si>
  <si>
    <t>I don't know how I would use it since I don't need it in my environment (for now)</t>
  </si>
  <si>
    <t>3</t>
  </si>
  <si>
    <t>Permite el fácil modelado de DSLs sin necesidad de un entorno ni herramientas específicas.</t>
  </si>
  <si>
    <t>Las constraints pueden tener su curva de aprendizaje, especialmente para perfiles no técnicos.</t>
  </si>
  <si>
    <t>* Autocompletado de conceptos: en ocasiones el autocompletado no sugiere los conceptos disponibles (Concept, etc). Es especialmente doloroso al utilizar el DSL posteriormente porque tienes que conocer los conceptos disponibles. * Mejora descripción errores: durante la creación del lenguaje en ocasiones salta errores de sintaxis muy genérico (tara sintax error).</t>
  </si>
  <si>
    <t>Tratando de desarrollar proyectos reales con la adopción de DSLs propios que optimicen todo el proceso de desarrollo.</t>
  </si>
  <si>
    <t>4</t>
  </si>
  <si>
    <t>Intermediate (B1)</t>
  </si>
  <si>
    <t xml:space="preserve">Es una aplicación fácil de usar para un usuario con conocimientos básicos en modelado. </t>
  </si>
  <si>
    <t>A la hora de visualizar el modelo desde la creación del metamodelo, podría existir un botón de abrirlo en una segunda pestaña y no en la misma.</t>
  </si>
  <si>
    <t>La herramienta no me ha presentado ninguna confusión. Tiene una interfaz intuitiva y fácil de manejar.</t>
  </si>
  <si>
    <t>Se podría integrar en el ámbito educacional, ya que con esta herramienta se puede aprender a crear un metamodelo y el modelo en la misma plataforma.</t>
  </si>
  <si>
    <t>5</t>
  </si>
  <si>
    <t>Posibilidad de definir DSLs de forma sencilla y sin tener yo que programar el parser. Es fácil crear metamodelos y modelos, y poder compartirlos mediante correo. La generación de la dependencia para poder usar en Java facilita la integración. Por último, el execute en la propia página es una buena forma de testear el modelo.</t>
  </si>
  <si>
    <t>La integración con el parser en Java puede explicarse de mejor forma, incluyendo un Getting Started con ejemplos completos.</t>
  </si>
  <si>
    <t>- ¡¡MARDOWN PARA CREAR DOCUMENTACION (HELP) DE LOS METAMODELOS Y MODELOS!!! Con el editor tipo word es muy lento formatear, y al copiar/pegar no se mantienen los formatos, haciendo que escribir documentación sea muy, muy tedioso.; Campo date con format, t</t>
  </si>
  <si>
    <t>Con esta herramienta podemos crear los DSL de forma unificada e iterar mucho más rápido en nuestros proyectos.</t>
  </si>
  <si>
    <t>6</t>
  </si>
  <si>
    <t>7</t>
  </si>
  <si>
    <t>Elementary (A2)</t>
  </si>
  <si>
    <t>8</t>
  </si>
  <si>
    <t>Advanced (C1)</t>
  </si>
  <si>
    <t>The error messages in the model were very useful, and it is very nice to be able to have different versions so you can return to them.</t>
  </si>
  <si>
    <t>The documentation is very long yet I didn't feel it really explained things, for instance, when I was doing the date change (to have absolute and relative), it was a not clear how to use the `sub` or similar. It would be nice to have the docs improved and even put simpler examples. Also, If you have a version, lets say 1.2.4, and try to edit it, it doesn't work it lets you read it but when you try to edit it gives you the latest version.</t>
  </si>
  <si>
    <t>Yes, mainly on how to use the sub, although once Octavio explained it it was clear.</t>
  </si>
  <si>
    <t>I don't really work with models but we are working on an assistant for DSLs and I see that we could create different DSLs very quickly thanks to Quassar and test if the assistant could help us with them given the generated DSL + Docs.</t>
  </si>
  <si>
    <t>9</t>
  </si>
  <si>
    <t>PhD student</t>
  </si>
  <si>
    <t>Student</t>
  </si>
  <si>
    <t>Web-based, the editor, the UI, the integration with all parts, the LSP support.</t>
  </si>
  <si>
    <t>A bit of problems with constraints (I couldn't add up count(...) + count(...)), and a bit of strange getting used to indent-aware syntax (for representing traits + inheritance), but could get around it very quickly by just naturally using the tool and minimal guidance. The fact that I feel quite confident about using this with &lt; 1.5 hours is significant!</t>
  </si>
  <si>
    <t>Model-metamodel connection (two tabs), going to the main screen, switching back and forth was a bit strange. But again, it is a matter of getting used to it.</t>
  </si>
  <si>
    <t xml:space="preserve">I would love a Langium-like (e.g., https://langium.org/playground/) integration, side by side with meta-model + model in order to quickly prototype, etc. Having two different tabs, waiting for commiting, etc, makes it difficult to debug. In other words, I must wait to re-compile the meta-model in order to check whether it solved my problems in the model or not. </t>
  </si>
  <si>
    <t>10</t>
  </si>
  <si>
    <t>11</t>
  </si>
  <si>
    <t>Proficient (C2)</t>
  </si>
  <si>
    <t>The integration between meta-models and models is quite neat and facilitates the process of developing new models.</t>
  </si>
  <si>
    <t>I found everything intuitive, my only complaint would be the constraints which require a greater understanding to use, but that is nothing but lack of practice.</t>
  </si>
  <si>
    <t>The autocompletion tool right now only suggests the token of the concept you are writing, but it would be nice that, once I write the concept, the compulsory parameters appear unfilled to facilitate the process.</t>
  </si>
  <si>
    <t>It has many applications in both areas, in the educational one, as a student I can better see how abstract domain concepts map to structured models. In the professional area, it can greatly improve the development of new projects.</t>
  </si>
  <si>
    <t>12</t>
  </si>
  <si>
    <t>El subrayado de errores y la documentación sobre la definición de metamodelos</t>
  </si>
  <si>
    <t>A alguien sin experiencia le vendría bien un asistente basado en llms aprovechando</t>
  </si>
  <si>
    <t>A la hora de definir el metamodelo y el modelo. Saber que es necesario forjar el metamodelo, y luego seleccionarlo.</t>
  </si>
  <si>
    <t>Lo utilizaría para crear chatbots</t>
  </si>
  <si>
    <t>13</t>
  </si>
  <si>
    <t>The facility for defining concepts</t>
  </si>
  <si>
    <t>Both environments are feasible for integration</t>
  </si>
  <si>
    <t>14</t>
  </si>
  <si>
    <t>Tener ejemplos a mano facilita el inicio.</t>
  </si>
  <si>
    <t>La pantalla de inicio cuando empiezas sin nada es confusa, puesto que el primer botón que te encuentras no es usable. Sugiero invertir el orden.</t>
  </si>
  <si>
    <t>No la he usado tanto como para aportar algo aquí.</t>
  </si>
  <si>
    <t>No se adapta mucho al trabajo que realizo.</t>
  </si>
  <si>
    <t>15</t>
  </si>
  <si>
    <t>PhD (completed)</t>
  </si>
  <si>
    <t>Teaching, Research center, Student</t>
  </si>
  <si>
    <t>It's very well integrated through the web environment.</t>
  </si>
  <si>
    <t>I couldn't manage to make the quickfixes work.</t>
  </si>
  <si>
    <t>To swap between the model and the meta-model. To understand at the beginning how to create the constraints. I was fast at the end due to some quick learning but couldn't manage to get work the automatic quickfixes.</t>
  </si>
  <si>
    <t>I would like to import/export the works from Eclipse EMF to Quassar and vice-versa.</t>
  </si>
  <si>
    <t>16</t>
  </si>
  <si>
    <t>Todo en general. Me gustó las sugerencias de código y tener la documentación a mano agiliza el desarrollo</t>
  </si>
  <si>
    <t>Quizás la interfaz en general a veces no es muy intuitiva. Las primera vez que usé Quassar estaba un poco perdido. Muchos botones están situados en lugares no tan intuitivos. En cuanto al lenguaje como tal, creo que lo único que me confundió fue la función "all": aunque es cierto que tiene una condición, yo estaba buscando más bien una función "filter" para lo que yo quería hacer. Igualmente, yo personalmente estoy muy sesgado a la distribución de las funciones en los IDEs de programación y en cuanto al "filter" más de lo mismo</t>
  </si>
  <si>
    <t>Respecto a la distribución de botones y elementos, quizás buscar un poco más la diferenciación de las secciones con los colores, intentar que todos los botones tengan descripción al pasar el ratón por encima, buscar quizás iconos más descriptivos (el de la flecha para ir a la forja no se entiende), reposicionar algunos (si no me dicen que existe el de settings, ni lo veo al menos a simple vista, o el la forja casi no se ve a simple vista los botones de properties y metamodel). Respecto al lenguaje como tal, quizás adaptar los nombres de algunas funciones como el de all a algo más estándar (aunque entiendo que se busca algo que pueda entender todo el mundo). También estaría bien disponer de todas las operaciones de conjuntos que se puede hacer en SQL (join, intersect, etc.) que aunque quizás no se use demasiado, puede aportar muchísima potencia en este aspecto. Otro aspecto que puede estar muy bien de cara al uso de esta herramienta por parte de empresas es potenciar el desarrollo en caso de que más de una persona esté modificando el DSL. Una solución es hacer algo parecido a cómo funciona Google Drive y que se pueda modificar todo en tiempo real, o hacerlo como git, y que si alguien sube una versión del DSL y otra persona sube otra, que pueda decidir hacer un merge o algo por el estilo. Esto puede ser útil sobre todo en la definición de modelos (en los metamodelos puede ser útil también aunque)</t>
  </si>
  <si>
    <t>En mi caso, yo trabajo a diario con lenguajes de dominio específico, y la verdad es que es un entorno que agiliza bastante el desarrollo de estos y el poder compartirlo con otros compañeros y poder editarlo entre todos.</t>
  </si>
  <si>
    <t>17</t>
  </si>
  <si>
    <t>La ayuda y los ejemplos.</t>
  </si>
  <si>
    <t>Sí, por un lado en Safari hay un pequeño lag cuando de escribe en la interfaz (me pasé a Chrome y funciona bien). Otro problema que he tenido es con los tabuladores, en los ejemplos del manual hay dos espacios, sin embargo, el IDE sólo funciona bien con 4 espacios (me llevó un rato darme cuenta). Con respecto al manual, en "Getting Started", donde pone "Step 1", hay una errata en la que aparece código html.</t>
  </si>
  <si>
    <t>18</t>
  </si>
  <si>
    <t>La mayor utilidad de Quassar es que, tras modelar con Metta, la DSL resultante se lee como documentación viva: conceptos, reglas y cardinalidades quedan claras y el dominio se entiende de un vistazo</t>
  </si>
  <si>
    <t>La lógica de las restricciones ya que no estoy muy acostumbrado.</t>
  </si>
  <si>
    <t>-</t>
  </si>
  <si>
    <t>19</t>
  </si>
  <si>
    <t>Industry, Student</t>
  </si>
  <si>
    <t>Sharing properties and version control</t>
  </si>
  <si>
    <t>No</t>
  </si>
  <si>
    <t>I would strongly suggest an interactive tutorial showing the different phases of the metamodel creation in order to make it easier for new users to create their own.</t>
  </si>
  <si>
    <t>Problems could be solved more easily if they were tackled from the model’s perspective in the first place, building solutions based on the model definition.</t>
  </si>
  <si>
    <t>20</t>
  </si>
  <si>
    <t>Los conceptos pueden llevar a confusión a menos que domines el programación dirigida por modelos</t>
  </si>
  <si>
    <t>El ciclo y el forjado</t>
  </si>
  <si>
    <t>La primera pantalla y la forma de comenzar</t>
  </si>
  <si>
    <t>No lo sé</t>
  </si>
  <si>
    <t>21</t>
  </si>
  <si>
    <t>22</t>
  </si>
  <si>
    <t>23</t>
  </si>
  <si>
    <t>24</t>
  </si>
  <si>
    <t>25</t>
  </si>
  <si>
    <t>26</t>
  </si>
  <si>
    <t>27</t>
  </si>
  <si>
    <t>28</t>
  </si>
  <si>
    <t>29</t>
  </si>
  <si>
    <t>30</t>
  </si>
  <si>
    <t>user</t>
  </si>
  <si>
    <t>precision</t>
  </si>
  <si>
    <t>recall</t>
  </si>
  <si>
    <t>F1</t>
  </si>
  <si>
    <t>TTFVM (min)</t>
  </si>
  <si>
    <t>Quality-per-time</t>
  </si>
  <si>
    <t>MEDIAN</t>
  </si>
  <si>
    <t>AVG</t>
  </si>
  <si>
    <t>Q1</t>
  </si>
  <si>
    <t>Q3</t>
  </si>
  <si>
    <t>IQR</t>
  </si>
  <si>
    <t>DEMO</t>
  </si>
  <si>
    <t>Sample characteristic</t>
  </si>
  <si>
    <t>Value</t>
  </si>
  <si>
    <t>Q1-Q3</t>
  </si>
  <si>
    <t>N participantes</t>
  </si>
  <si>
    <t>Hombres</t>
  </si>
  <si>
    <t>Mujeres</t>
  </si>
  <si>
    <t>Edad mediana</t>
  </si>
  <si>
    <t>Edad mínima</t>
  </si>
  <si>
    <t>Edad máxima</t>
  </si>
  <si>
    <t>Exp. desarrollo mediana (años)</t>
  </si>
  <si>
    <t>Exp. modelado mediana (años)</t>
  </si>
  <si>
    <t>Meta-modelado mediana (Likert)</t>
  </si>
  <si>
    <t>Novices (L=1–2)</t>
  </si>
  <si>
    <t>Experienced (L=3–5)</t>
  </si>
  <si>
    <t xml:space="preserve"> RENDIMIENTO EN LA TAREA</t>
  </si>
  <si>
    <t>Task metric</t>
  </si>
  <si>
    <t>Mediana</t>
  </si>
  <si>
    <t>Q1–Q3</t>
  </si>
  <si>
    <t>TTFVM(min)</t>
  </si>
  <si>
    <t>USABILIDAD (SUS)</t>
  </si>
  <si>
    <t>SUS metric</t>
  </si>
  <si>
    <t>SUS mediana</t>
  </si>
  <si>
    <t>% SUS ≥ 70</t>
  </si>
  <si>
    <t>SQ (SPECIFIC QUESTIONS)</t>
  </si>
  <si>
    <t>SQ</t>
  </si>
  <si>
    <t>SQ1</t>
  </si>
  <si>
    <t>SQ2</t>
  </si>
  <si>
    <t>SQ3</t>
  </si>
  <si>
    <t>SQ4</t>
  </si>
  <si>
    <t>SQ5</t>
  </si>
  <si>
    <t>SQ6</t>
  </si>
  <si>
    <t>Cliff’s δ (TTFVM)</t>
  </si>
  <si>
    <t>Cliff’s δ para 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</si>
</sst>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8">
    <font>
      <sz val="12"/>
      <color theme="1"/>
      <name val="Aptos Narrow"/>
      <family val="2"/>
      <scheme val="minor"/>
    </font>
    <font>
      <b/>
      <sz val="12"/>
      <color theme="1"/>
      <name val="Aptos Narrow"/>
      <scheme val="minor"/>
    </font>
    <font>
      <sz val="12"/>
      <color theme="1"/>
      <name val="Aptos Narrow"/>
      <scheme val="minor"/>
    </font>
    <font>
      <sz val="12"/>
      <color rgb="FF000000"/>
      <name val="Aptos Narrow"/>
      <scheme val="minor"/>
    </font>
    <font>
      <sz val="12"/>
      <color theme="1"/>
      <name val="Aptos Narrow"/>
      <family val="2"/>
      <scheme val="minor"/>
    </font>
    <font>
      <b/>
      <sz val="12"/>
      <color theme="1"/>
      <name val="Aptos Narrow"/>
      <family val="2"/>
      <scheme val="minor"/>
    </font>
    <font>
      <sz val="12"/>
      <name val="Aptos Narrow"/>
      <scheme val="minor"/>
    </font>
    <font>
      <b/>
      <sz val="30"/>
      <color theme="1"/>
      <name val="Aptos Narrow"/>
      <scheme val="minor"/>
    </font>
  </fonts>
  <fills count="2">
    <fill>
      <patternFill patternType="none"/>
    </fill>
    <fill>
      <patternFill patternType="gray125"/>
    </fill>
  </fills>
  <borders count="8">
    <border>
      <left/>
      <right/>
      <top/>
      <bottom/>
      <diagonal/>
    </border>
    <border>
      <left/>
      <right style="double">
        <color indexed="64"/>
      </right>
      <top/>
      <bottom/>
      <diagonal/>
    </border>
    <border>
      <left/>
      <right/>
      <top/>
      <bottom style="double">
        <color indexed="64"/>
      </bottom>
      <diagonal/>
    </border>
    <border>
      <left/>
      <right style="double">
        <color indexed="64"/>
      </right>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right style="double">
        <color indexed="64"/>
      </right>
      <top style="double">
        <color indexed="64"/>
      </top>
      <bottom/>
      <diagonal/>
    </border>
    <border>
      <left style="double">
        <color indexed="64"/>
      </left>
      <right style="double">
        <color indexed="64"/>
      </right>
      <top style="thin">
        <color indexed="64"/>
      </top>
      <bottom style="double">
        <color indexed="64"/>
      </bottom>
      <diagonal/>
    </border>
  </borders>
  <cellStyleXfs count="2">
    <xf numFmtId="0" fontId="0" fillId="0" borderId="0"/>
    <xf numFmtId="9" fontId="4" fillId="0" borderId="0"/>
  </cellStyleXfs>
  <cellXfs count="45">
    <xf numFmtId="0" fontId="0" fillId="0" borderId="0" xfId="0"/>
    <xf numFmtId="0" fontId="1" fillId="0" borderId="0" xfId="0" applyFont="1" applyAlignment="1">
      <alignment horizontal="right"/>
    </xf>
    <xf numFmtId="0" fontId="2" fillId="0" borderId="0" xfId="0" applyFont="1"/>
    <xf numFmtId="2" fontId="2" fillId="0" borderId="0" xfId="0" applyNumberFormat="1" applyFont="1"/>
    <xf numFmtId="2" fontId="3" fillId="0" borderId="0" xfId="0" applyNumberFormat="1" applyFont="1"/>
    <xf numFmtId="0" fontId="1" fillId="0" borderId="0" xfId="0" applyFont="1"/>
    <xf numFmtId="2" fontId="1" fillId="0" borderId="0" xfId="0" applyNumberFormat="1" applyFont="1"/>
    <xf numFmtId="0" fontId="1" fillId="0" borderId="0" xfId="0" applyFont="1" applyAlignment="1">
      <alignment horizontal="left"/>
    </xf>
    <xf numFmtId="49" fontId="0" fillId="0" borderId="0" xfId="0" applyNumberFormat="1"/>
    <xf numFmtId="22" fontId="0" fillId="0" borderId="0" xfId="0" applyNumberFormat="1"/>
    <xf numFmtId="2" fontId="0" fillId="0" borderId="0" xfId="0" applyNumberFormat="1"/>
    <xf numFmtId="1" fontId="0" fillId="0" borderId="0" xfId="0" applyNumberFormat="1"/>
    <xf numFmtId="22" fontId="6" fillId="0" borderId="0" xfId="0" applyNumberFormat="1" applyFont="1"/>
    <xf numFmtId="0" fontId="6" fillId="0" borderId="0" xfId="0" applyFont="1"/>
    <xf numFmtId="0" fontId="1" fillId="0" borderId="0" xfId="0" applyFont="1" applyAlignment="1">
      <alignment vertical="center" wrapText="1"/>
    </xf>
    <xf numFmtId="49" fontId="1" fillId="0" borderId="0" xfId="0" applyNumberFormat="1" applyFont="1" applyAlignment="1">
      <alignment vertical="center" wrapText="1"/>
    </xf>
    <xf numFmtId="0" fontId="0" fillId="0" borderId="0" xfId="0" applyAlignment="1">
      <alignment vertical="center"/>
    </xf>
    <xf numFmtId="0" fontId="1" fillId="0" borderId="1" xfId="0" applyFont="1" applyBorder="1" applyAlignment="1">
      <alignment vertical="center" wrapText="1"/>
    </xf>
    <xf numFmtId="0" fontId="0" fillId="0" borderId="1" xfId="0" applyBorder="1"/>
    <xf numFmtId="0" fontId="6" fillId="0" borderId="1" xfId="0" applyFont="1" applyBorder="1"/>
    <xf numFmtId="0" fontId="1" fillId="0" borderId="2" xfId="0" applyFont="1" applyBorder="1"/>
    <xf numFmtId="0" fontId="0" fillId="0" borderId="2" xfId="0" applyBorder="1"/>
    <xf numFmtId="0" fontId="5" fillId="0" borderId="0" xfId="0" applyFont="1"/>
    <xf numFmtId="164" fontId="1" fillId="0" borderId="0" xfId="0" applyNumberFormat="1" applyFont="1"/>
    <xf numFmtId="0" fontId="7" fillId="0" borderId="6" xfId="0" applyFont="1" applyBorder="1" applyAlignment="1">
      <alignment horizontal="center" vertical="center"/>
    </xf>
    <xf numFmtId="0" fontId="0" fillId="0" borderId="0" xfId="0" applyAlignment="1">
      <alignment horizontal="right"/>
    </xf>
    <xf numFmtId="9" fontId="0" fillId="0" borderId="0" xfId="1" applyFont="1"/>
    <xf numFmtId="0" fontId="1" fillId="0" borderId="2" xfId="0" applyFont="1" applyBorder="1" applyAlignment="1">
      <alignment horizontal="center"/>
    </xf>
    <xf numFmtId="164" fontId="0" fillId="0" borderId="0" xfId="0" applyNumberFormat="1"/>
    <xf numFmtId="22" fontId="4" fillId="0" borderId="0" xfId="0" applyNumberFormat="1" applyFont="1"/>
    <xf numFmtId="49" fontId="4" fillId="0" borderId="0" xfId="0" applyNumberFormat="1" applyFont="1"/>
    <xf numFmtId="1" fontId="4" fillId="0" borderId="0" xfId="0" applyNumberFormat="1" applyFont="1"/>
    <xf numFmtId="0" fontId="4" fillId="0" borderId="0" xfId="0" applyFont="1"/>
    <xf numFmtId="0" fontId="4" fillId="0" borderId="1" xfId="0" applyFont="1" applyBorder="1"/>
    <xf numFmtId="165" fontId="2" fillId="0" borderId="0" xfId="0" applyNumberFormat="1" applyFont="1"/>
    <xf numFmtId="0" fontId="1" fillId="0" borderId="3" xfId="0" applyFont="1" applyBorder="1" applyAlignment="1">
      <alignment horizontal="center"/>
    </xf>
    <xf numFmtId="0" fontId="0" fillId="0" borderId="2" xfId="0" applyBorder="1"/>
    <xf numFmtId="0" fontId="0" fillId="0" borderId="3" xfId="0" applyBorder="1"/>
    <xf numFmtId="0" fontId="1" fillId="0" borderId="7" xfId="0" applyFont="1" applyBorder="1" applyAlignment="1">
      <alignment horizontal="center"/>
    </xf>
    <xf numFmtId="0" fontId="0" fillId="0" borderId="4" xfId="0" applyBorder="1"/>
    <xf numFmtId="0" fontId="0" fillId="0" borderId="5" xfId="0" applyBorder="1"/>
    <xf numFmtId="0" fontId="1" fillId="0" borderId="0" xfId="0" applyFont="1" applyAlignment="1">
      <alignment horizontal="center"/>
    </xf>
    <xf numFmtId="0" fontId="0" fillId="0" borderId="0" xfId="0"/>
    <xf numFmtId="0" fontId="0" fillId="0" borderId="0" xfId="0" applyAlignment="1">
      <alignment horizontal="right"/>
    </xf>
    <xf numFmtId="0" fontId="1" fillId="0" borderId="0" xfId="0" applyFon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8"/>
  <sheetViews>
    <sheetView tabSelected="1" workbookViewId="0">
      <selection activeCell="B34" sqref="B34"/>
    </sheetView>
  </sheetViews>
  <sheetFormatPr baseColWidth="10" defaultRowHeight="16"/>
  <cols>
    <col min="1" max="1" width="14" bestFit="1" customWidth="1"/>
    <col min="2" max="2" width="30.33203125" bestFit="1" customWidth="1"/>
    <col min="3" max="3" width="8.1640625" customWidth="1"/>
    <col min="4" max="4" width="13.5" customWidth="1"/>
    <col min="5" max="5" width="16" customWidth="1"/>
    <col min="6" max="6" width="13.1640625" customWidth="1"/>
    <col min="7" max="7" width="21.5" customWidth="1"/>
    <col min="8" max="8" width="19.1640625" customWidth="1"/>
    <col min="9" max="9" width="17.83203125" customWidth="1"/>
    <col min="10" max="10" width="18" customWidth="1"/>
    <col min="11" max="11" width="13.6640625" customWidth="1"/>
    <col min="12" max="13" width="16.6640625" customWidth="1"/>
    <col min="14" max="14" width="21" customWidth="1"/>
    <col min="15" max="15" width="15.5" customWidth="1"/>
    <col min="16" max="17" width="16.33203125" customWidth="1"/>
    <col min="18" max="18" width="19" customWidth="1"/>
    <col min="19" max="19" width="15.5" customWidth="1"/>
    <col min="20" max="20" width="19" customWidth="1"/>
    <col min="21" max="23" width="15.83203125" customWidth="1"/>
    <col min="24" max="24" width="10.33203125" bestFit="1" customWidth="1"/>
    <col min="25" max="25" width="16.1640625" customWidth="1"/>
    <col min="26" max="26" width="20.6640625" customWidth="1"/>
    <col min="27" max="27" width="17.1640625" customWidth="1"/>
    <col min="28" max="28" width="19.6640625" customWidth="1"/>
    <col min="29" max="29" width="16.1640625" customWidth="1"/>
    <col min="30" max="30" width="22" customWidth="1"/>
    <col min="31" max="31" width="18" customWidth="1"/>
    <col min="32" max="32" width="167" customWidth="1"/>
    <col min="33" max="33" width="28.1640625" customWidth="1"/>
    <col min="34" max="34" width="37.6640625" customWidth="1"/>
  </cols>
  <sheetData>
    <row r="1" spans="1:34" s="21" customFormat="1" ht="17" customHeight="1" thickBot="1">
      <c r="A1" s="20"/>
      <c r="B1" s="20"/>
      <c r="C1" s="35" t="s">
        <v>0</v>
      </c>
      <c r="D1" s="36"/>
      <c r="E1" s="36"/>
      <c r="F1" s="36"/>
      <c r="G1" s="36"/>
      <c r="H1" s="36"/>
      <c r="I1" s="36"/>
      <c r="J1" s="36"/>
      <c r="K1" s="36"/>
      <c r="L1" s="37"/>
      <c r="M1" s="27"/>
      <c r="N1" s="38" t="s">
        <v>1</v>
      </c>
      <c r="O1" s="39"/>
      <c r="P1" s="39"/>
      <c r="Q1" s="39"/>
      <c r="R1" s="39"/>
      <c r="S1" s="39"/>
      <c r="T1" s="39"/>
      <c r="U1" s="39"/>
      <c r="V1" s="39"/>
      <c r="W1" s="39"/>
      <c r="X1" s="40"/>
      <c r="Y1" s="35" t="s">
        <v>2</v>
      </c>
      <c r="Z1" s="36"/>
      <c r="AA1" s="36"/>
      <c r="AB1" s="36"/>
      <c r="AC1" s="36"/>
      <c r="AD1" s="37"/>
    </row>
    <row r="2" spans="1:34" s="16" customFormat="1" ht="64" customHeight="1" thickTop="1">
      <c r="A2" s="14" t="s">
        <v>3</v>
      </c>
      <c r="B2" s="15" t="s">
        <v>4</v>
      </c>
      <c r="C2" s="14" t="s">
        <v>5</v>
      </c>
      <c r="D2" s="14" t="s">
        <v>6</v>
      </c>
      <c r="E2" s="14" t="s">
        <v>7</v>
      </c>
      <c r="F2" s="14" t="s">
        <v>8</v>
      </c>
      <c r="G2" s="14" t="s">
        <v>9</v>
      </c>
      <c r="H2" s="14" t="s">
        <v>10</v>
      </c>
      <c r="I2" s="14" t="s">
        <v>11</v>
      </c>
      <c r="J2" s="14" t="s">
        <v>12</v>
      </c>
      <c r="K2" s="14" t="s">
        <v>13</v>
      </c>
      <c r="L2" s="17" t="s">
        <v>14</v>
      </c>
      <c r="M2" s="14" t="s">
        <v>15</v>
      </c>
      <c r="N2" s="14" t="s">
        <v>16</v>
      </c>
      <c r="O2" s="14" t="s">
        <v>17</v>
      </c>
      <c r="P2" s="14" t="s">
        <v>18</v>
      </c>
      <c r="Q2" s="14" t="s">
        <v>19</v>
      </c>
      <c r="R2" s="14" t="s">
        <v>20</v>
      </c>
      <c r="S2" s="14" t="s">
        <v>21</v>
      </c>
      <c r="T2" s="14" t="s">
        <v>22</v>
      </c>
      <c r="U2" s="14" t="s">
        <v>23</v>
      </c>
      <c r="V2" s="14" t="s">
        <v>24</v>
      </c>
      <c r="W2" s="14" t="s">
        <v>25</v>
      </c>
      <c r="X2" s="24" t="s">
        <v>1</v>
      </c>
      <c r="Y2" s="14" t="s">
        <v>26</v>
      </c>
      <c r="Z2" s="14" t="s">
        <v>27</v>
      </c>
      <c r="AA2" s="14" t="s">
        <v>28</v>
      </c>
      <c r="AB2" s="14" t="s">
        <v>29</v>
      </c>
      <c r="AC2" s="14" t="s">
        <v>30</v>
      </c>
      <c r="AD2" s="17" t="s">
        <v>31</v>
      </c>
      <c r="AE2" s="14" t="s">
        <v>32</v>
      </c>
      <c r="AF2" s="14" t="s">
        <v>33</v>
      </c>
      <c r="AG2" s="14" t="s">
        <v>34</v>
      </c>
      <c r="AH2" s="14" t="s">
        <v>35</v>
      </c>
    </row>
    <row r="3" spans="1:34">
      <c r="A3" s="9">
        <v>45938.545868055553</v>
      </c>
      <c r="B3" s="8" t="s">
        <v>36</v>
      </c>
      <c r="C3" s="11">
        <v>26</v>
      </c>
      <c r="D3" t="s">
        <v>37</v>
      </c>
      <c r="E3" t="s">
        <v>38</v>
      </c>
      <c r="F3" t="s">
        <v>39</v>
      </c>
      <c r="G3" t="s">
        <v>40</v>
      </c>
      <c r="H3" t="s">
        <v>41</v>
      </c>
      <c r="I3">
        <v>4</v>
      </c>
      <c r="J3">
        <v>1</v>
      </c>
      <c r="K3">
        <v>4</v>
      </c>
      <c r="L3" s="18">
        <v>1</v>
      </c>
      <c r="M3" t="str">
        <f t="shared" ref="M3:M32" si="0">IF(L3&lt;3,"Novice","Experienced")</f>
        <v>Novice</v>
      </c>
      <c r="N3">
        <v>4</v>
      </c>
      <c r="O3">
        <v>2</v>
      </c>
      <c r="P3">
        <v>4</v>
      </c>
      <c r="Q3">
        <v>2</v>
      </c>
      <c r="R3">
        <v>4</v>
      </c>
      <c r="S3">
        <v>1</v>
      </c>
      <c r="T3">
        <v>4</v>
      </c>
      <c r="U3">
        <v>1</v>
      </c>
      <c r="V3">
        <v>4</v>
      </c>
      <c r="W3">
        <v>3</v>
      </c>
      <c r="X3" s="18">
        <f t="shared" ref="X3:X32" si="1">((N3-1)+(5-O3)+(P3-1)+(5-Q3)+(R3-1)+(5-S3)+(T3-1)+(5-U3)+(V3-1)+(5-W3))*2.5</f>
        <v>77.5</v>
      </c>
      <c r="Y3">
        <v>4</v>
      </c>
      <c r="Z3">
        <v>5</v>
      </c>
      <c r="AA3">
        <v>5</v>
      </c>
      <c r="AB3">
        <v>4</v>
      </c>
      <c r="AC3">
        <v>4</v>
      </c>
      <c r="AD3" s="18">
        <v>4</v>
      </c>
      <c r="AE3" t="s">
        <v>42</v>
      </c>
      <c r="AF3" t="s">
        <v>43</v>
      </c>
      <c r="AG3" t="s">
        <v>44</v>
      </c>
    </row>
    <row r="4" spans="1:34">
      <c r="A4" s="9">
        <v>45959.692187499997</v>
      </c>
      <c r="B4" s="8" t="s">
        <v>45</v>
      </c>
      <c r="C4" s="11">
        <v>26</v>
      </c>
      <c r="D4" t="s">
        <v>46</v>
      </c>
      <c r="E4" t="s">
        <v>47</v>
      </c>
      <c r="F4" t="s">
        <v>39</v>
      </c>
      <c r="G4" t="s">
        <v>40</v>
      </c>
      <c r="H4" t="s">
        <v>48</v>
      </c>
      <c r="I4">
        <v>3</v>
      </c>
      <c r="J4">
        <v>1</v>
      </c>
      <c r="K4">
        <v>1</v>
      </c>
      <c r="L4" s="18">
        <v>1</v>
      </c>
      <c r="M4" t="str">
        <f t="shared" si="0"/>
        <v>Novice</v>
      </c>
      <c r="N4">
        <v>2</v>
      </c>
      <c r="O4">
        <v>3</v>
      </c>
      <c r="P4">
        <v>3</v>
      </c>
      <c r="Q4">
        <v>5</v>
      </c>
      <c r="R4">
        <v>4</v>
      </c>
      <c r="S4">
        <v>2</v>
      </c>
      <c r="T4">
        <v>2</v>
      </c>
      <c r="U4">
        <v>1</v>
      </c>
      <c r="V4">
        <v>1</v>
      </c>
      <c r="W4">
        <v>4</v>
      </c>
      <c r="X4" s="18">
        <f t="shared" si="1"/>
        <v>42.5</v>
      </c>
      <c r="Y4">
        <v>1</v>
      </c>
      <c r="Z4">
        <v>5</v>
      </c>
      <c r="AA4">
        <v>4</v>
      </c>
      <c r="AB4">
        <v>3</v>
      </c>
      <c r="AC4">
        <v>3</v>
      </c>
      <c r="AD4" s="18">
        <v>2</v>
      </c>
      <c r="AE4" t="s">
        <v>49</v>
      </c>
      <c r="AF4" t="s">
        <v>50</v>
      </c>
      <c r="AG4" t="s">
        <v>51</v>
      </c>
      <c r="AH4" t="s">
        <v>52</v>
      </c>
    </row>
    <row r="5" spans="1:34">
      <c r="A5" s="9">
        <v>45944.457013888888</v>
      </c>
      <c r="B5" s="8" t="s">
        <v>53</v>
      </c>
      <c r="C5" s="11">
        <v>36</v>
      </c>
      <c r="D5" t="s">
        <v>46</v>
      </c>
      <c r="E5" t="s">
        <v>47</v>
      </c>
      <c r="F5" t="s">
        <v>39</v>
      </c>
      <c r="G5" t="s">
        <v>40</v>
      </c>
      <c r="H5" t="s">
        <v>41</v>
      </c>
      <c r="I5">
        <v>11</v>
      </c>
      <c r="J5">
        <v>5</v>
      </c>
      <c r="K5">
        <v>5</v>
      </c>
      <c r="L5" s="18">
        <v>5</v>
      </c>
      <c r="M5" t="str">
        <f t="shared" si="0"/>
        <v>Experienced</v>
      </c>
      <c r="N5">
        <v>5</v>
      </c>
      <c r="O5">
        <v>2</v>
      </c>
      <c r="P5">
        <v>4</v>
      </c>
      <c r="Q5">
        <v>2</v>
      </c>
      <c r="R5">
        <v>5</v>
      </c>
      <c r="S5">
        <v>1</v>
      </c>
      <c r="T5">
        <v>4</v>
      </c>
      <c r="U5">
        <v>1</v>
      </c>
      <c r="V5">
        <v>4</v>
      </c>
      <c r="W5">
        <v>2</v>
      </c>
      <c r="X5" s="18">
        <f t="shared" si="1"/>
        <v>85</v>
      </c>
      <c r="Y5">
        <v>5</v>
      </c>
      <c r="Z5">
        <v>5</v>
      </c>
      <c r="AA5">
        <v>4</v>
      </c>
      <c r="AB5">
        <v>3</v>
      </c>
      <c r="AC5">
        <v>5</v>
      </c>
      <c r="AD5" s="18">
        <v>4</v>
      </c>
      <c r="AE5" t="s">
        <v>54</v>
      </c>
      <c r="AF5" t="s">
        <v>55</v>
      </c>
      <c r="AG5" t="s">
        <v>56</v>
      </c>
      <c r="AH5" t="s">
        <v>57</v>
      </c>
    </row>
    <row r="6" spans="1:34">
      <c r="A6" s="9">
        <v>45959.682824074072</v>
      </c>
      <c r="B6" s="8" t="s">
        <v>58</v>
      </c>
      <c r="C6" s="11">
        <v>26</v>
      </c>
      <c r="D6" t="s">
        <v>46</v>
      </c>
      <c r="E6" t="s">
        <v>47</v>
      </c>
      <c r="F6" t="s">
        <v>39</v>
      </c>
      <c r="G6" t="s">
        <v>59</v>
      </c>
      <c r="H6" t="s">
        <v>48</v>
      </c>
      <c r="I6">
        <v>1</v>
      </c>
      <c r="J6">
        <v>3</v>
      </c>
      <c r="K6">
        <v>1</v>
      </c>
      <c r="L6" s="18">
        <v>1</v>
      </c>
      <c r="M6" t="str">
        <f t="shared" si="0"/>
        <v>Novice</v>
      </c>
      <c r="N6">
        <v>4</v>
      </c>
      <c r="O6">
        <v>1</v>
      </c>
      <c r="P6">
        <v>4</v>
      </c>
      <c r="Q6">
        <v>3</v>
      </c>
      <c r="R6">
        <v>4</v>
      </c>
      <c r="S6">
        <v>1</v>
      </c>
      <c r="T6">
        <v>4</v>
      </c>
      <c r="U6">
        <v>1</v>
      </c>
      <c r="V6">
        <v>4</v>
      </c>
      <c r="W6">
        <v>3</v>
      </c>
      <c r="X6" s="18">
        <f t="shared" si="1"/>
        <v>77.5</v>
      </c>
      <c r="Y6">
        <v>2</v>
      </c>
      <c r="Z6">
        <v>4</v>
      </c>
      <c r="AA6">
        <v>4</v>
      </c>
      <c r="AB6">
        <v>4</v>
      </c>
      <c r="AC6">
        <v>4</v>
      </c>
      <c r="AD6" s="18">
        <v>4</v>
      </c>
      <c r="AE6" t="s">
        <v>60</v>
      </c>
      <c r="AF6" t="s">
        <v>61</v>
      </c>
      <c r="AG6" t="s">
        <v>62</v>
      </c>
      <c r="AH6" t="s">
        <v>63</v>
      </c>
    </row>
    <row r="7" spans="1:34">
      <c r="A7" s="9">
        <v>45932.500740740739</v>
      </c>
      <c r="B7" s="8" t="s">
        <v>64</v>
      </c>
      <c r="C7" s="11">
        <v>27</v>
      </c>
      <c r="D7" t="s">
        <v>46</v>
      </c>
      <c r="E7" t="s">
        <v>47</v>
      </c>
      <c r="F7" t="s">
        <v>39</v>
      </c>
      <c r="G7" t="s">
        <v>40</v>
      </c>
      <c r="H7" t="s">
        <v>41</v>
      </c>
      <c r="I7">
        <v>5</v>
      </c>
      <c r="J7">
        <v>4</v>
      </c>
      <c r="K7">
        <v>4</v>
      </c>
      <c r="L7" s="18">
        <v>3</v>
      </c>
      <c r="M7" t="str">
        <f t="shared" si="0"/>
        <v>Experienced</v>
      </c>
      <c r="N7">
        <v>3</v>
      </c>
      <c r="O7">
        <v>1</v>
      </c>
      <c r="P7">
        <v>4</v>
      </c>
      <c r="Q7">
        <v>2</v>
      </c>
      <c r="R7">
        <v>3</v>
      </c>
      <c r="S7">
        <v>3</v>
      </c>
      <c r="T7">
        <v>4</v>
      </c>
      <c r="U7">
        <v>2</v>
      </c>
      <c r="V7">
        <v>4</v>
      </c>
      <c r="W7">
        <v>2</v>
      </c>
      <c r="X7" s="18">
        <f t="shared" si="1"/>
        <v>70</v>
      </c>
      <c r="Y7">
        <v>5</v>
      </c>
      <c r="Z7">
        <v>5</v>
      </c>
      <c r="AA7">
        <v>4</v>
      </c>
      <c r="AB7">
        <v>4</v>
      </c>
      <c r="AC7">
        <v>5</v>
      </c>
      <c r="AD7" s="18">
        <v>4</v>
      </c>
      <c r="AE7" t="s">
        <v>65</v>
      </c>
      <c r="AF7" t="s">
        <v>66</v>
      </c>
      <c r="AG7" t="s">
        <v>67</v>
      </c>
      <c r="AH7" t="s">
        <v>68</v>
      </c>
    </row>
    <row r="8" spans="1:34">
      <c r="A8" s="9">
        <v>45939.547094907408</v>
      </c>
      <c r="B8" s="8" t="s">
        <v>69</v>
      </c>
      <c r="C8" s="11">
        <v>43</v>
      </c>
      <c r="D8" t="s">
        <v>37</v>
      </c>
      <c r="E8" t="s">
        <v>38</v>
      </c>
      <c r="F8" t="s">
        <v>39</v>
      </c>
      <c r="G8" t="s">
        <v>59</v>
      </c>
      <c r="H8" t="s">
        <v>48</v>
      </c>
      <c r="I8">
        <v>15</v>
      </c>
      <c r="J8">
        <v>5</v>
      </c>
      <c r="K8">
        <v>4</v>
      </c>
      <c r="L8" s="18">
        <v>4</v>
      </c>
      <c r="M8" t="str">
        <f t="shared" si="0"/>
        <v>Experienced</v>
      </c>
      <c r="N8">
        <v>4</v>
      </c>
      <c r="O8">
        <v>1</v>
      </c>
      <c r="P8">
        <v>4</v>
      </c>
      <c r="Q8">
        <v>4</v>
      </c>
      <c r="R8">
        <v>4</v>
      </c>
      <c r="S8">
        <v>1</v>
      </c>
      <c r="T8">
        <v>4</v>
      </c>
      <c r="U8">
        <v>1</v>
      </c>
      <c r="V8">
        <v>3</v>
      </c>
      <c r="W8">
        <v>4</v>
      </c>
      <c r="X8" s="18">
        <f t="shared" si="1"/>
        <v>70</v>
      </c>
      <c r="Y8">
        <v>4</v>
      </c>
      <c r="Z8">
        <v>5</v>
      </c>
      <c r="AA8">
        <v>4</v>
      </c>
      <c r="AB8">
        <v>2</v>
      </c>
      <c r="AC8">
        <v>5</v>
      </c>
      <c r="AD8" s="18">
        <v>4</v>
      </c>
    </row>
    <row r="9" spans="1:34">
      <c r="A9" s="9">
        <v>45938.54247685185</v>
      </c>
      <c r="B9" s="8" t="s">
        <v>70</v>
      </c>
      <c r="C9" s="11">
        <v>35</v>
      </c>
      <c r="D9" t="s">
        <v>46</v>
      </c>
      <c r="E9" t="s">
        <v>38</v>
      </c>
      <c r="F9" t="s">
        <v>39</v>
      </c>
      <c r="G9" t="s">
        <v>71</v>
      </c>
      <c r="H9" t="s">
        <v>41</v>
      </c>
      <c r="I9">
        <v>8</v>
      </c>
      <c r="J9">
        <v>3</v>
      </c>
      <c r="K9">
        <v>3</v>
      </c>
      <c r="L9" s="18">
        <v>1</v>
      </c>
      <c r="M9" t="str">
        <f t="shared" si="0"/>
        <v>Novice</v>
      </c>
      <c r="N9">
        <v>3</v>
      </c>
      <c r="O9">
        <v>2</v>
      </c>
      <c r="P9">
        <v>3</v>
      </c>
      <c r="Q9">
        <v>3</v>
      </c>
      <c r="R9">
        <v>4</v>
      </c>
      <c r="S9">
        <v>2</v>
      </c>
      <c r="T9">
        <v>2</v>
      </c>
      <c r="U9">
        <v>1</v>
      </c>
      <c r="V9">
        <v>2</v>
      </c>
      <c r="W9">
        <v>4</v>
      </c>
      <c r="X9" s="18">
        <f t="shared" si="1"/>
        <v>55</v>
      </c>
      <c r="Y9">
        <v>4</v>
      </c>
      <c r="Z9">
        <v>4</v>
      </c>
      <c r="AA9">
        <v>3</v>
      </c>
      <c r="AB9">
        <v>3</v>
      </c>
      <c r="AC9">
        <v>3</v>
      </c>
      <c r="AD9" s="18">
        <v>3</v>
      </c>
    </row>
    <row r="10" spans="1:34">
      <c r="A10" s="9">
        <v>45959.68478009259</v>
      </c>
      <c r="B10" s="8" t="s">
        <v>72</v>
      </c>
      <c r="C10" s="11">
        <v>23</v>
      </c>
      <c r="D10" t="s">
        <v>46</v>
      </c>
      <c r="E10" t="s">
        <v>47</v>
      </c>
      <c r="F10" t="s">
        <v>39</v>
      </c>
      <c r="G10" t="s">
        <v>73</v>
      </c>
      <c r="H10" t="s">
        <v>48</v>
      </c>
      <c r="I10">
        <v>1</v>
      </c>
      <c r="J10">
        <v>2</v>
      </c>
      <c r="K10">
        <v>2</v>
      </c>
      <c r="L10" s="18">
        <v>2</v>
      </c>
      <c r="M10" t="str">
        <f t="shared" si="0"/>
        <v>Novice</v>
      </c>
      <c r="N10">
        <v>2</v>
      </c>
      <c r="O10">
        <v>2</v>
      </c>
      <c r="P10">
        <v>3</v>
      </c>
      <c r="Q10">
        <v>4</v>
      </c>
      <c r="R10">
        <v>3</v>
      </c>
      <c r="S10">
        <v>2</v>
      </c>
      <c r="T10">
        <v>3</v>
      </c>
      <c r="U10">
        <v>3</v>
      </c>
      <c r="V10">
        <v>2</v>
      </c>
      <c r="W10">
        <v>4</v>
      </c>
      <c r="X10" s="18">
        <f t="shared" si="1"/>
        <v>45</v>
      </c>
      <c r="Y10">
        <v>2</v>
      </c>
      <c r="Z10">
        <v>5</v>
      </c>
      <c r="AA10">
        <v>4</v>
      </c>
      <c r="AB10">
        <v>4</v>
      </c>
      <c r="AC10">
        <v>4</v>
      </c>
      <c r="AD10" s="18">
        <v>4</v>
      </c>
      <c r="AE10" t="s">
        <v>74</v>
      </c>
      <c r="AF10" t="s">
        <v>75</v>
      </c>
      <c r="AG10" t="s">
        <v>76</v>
      </c>
      <c r="AH10" t="s">
        <v>77</v>
      </c>
    </row>
    <row r="11" spans="1:34">
      <c r="A11" s="9">
        <v>45959.669027777767</v>
      </c>
      <c r="B11" s="8" t="s">
        <v>78</v>
      </c>
      <c r="C11" s="11">
        <v>28</v>
      </c>
      <c r="D11" t="s">
        <v>46</v>
      </c>
      <c r="E11" t="s">
        <v>79</v>
      </c>
      <c r="F11" t="s">
        <v>39</v>
      </c>
      <c r="G11" t="s">
        <v>73</v>
      </c>
      <c r="H11" t="s">
        <v>80</v>
      </c>
      <c r="I11">
        <v>8</v>
      </c>
      <c r="J11">
        <v>5</v>
      </c>
      <c r="K11">
        <v>5</v>
      </c>
      <c r="L11" s="18">
        <v>5</v>
      </c>
      <c r="M11" t="str">
        <f t="shared" si="0"/>
        <v>Experienced</v>
      </c>
      <c r="N11">
        <v>5</v>
      </c>
      <c r="O11">
        <v>1</v>
      </c>
      <c r="P11">
        <v>4</v>
      </c>
      <c r="Q11">
        <v>2</v>
      </c>
      <c r="R11">
        <v>4</v>
      </c>
      <c r="S11">
        <v>1</v>
      </c>
      <c r="T11">
        <v>5</v>
      </c>
      <c r="U11">
        <v>1</v>
      </c>
      <c r="V11">
        <v>4</v>
      </c>
      <c r="W11">
        <v>1</v>
      </c>
      <c r="X11" s="18">
        <f t="shared" si="1"/>
        <v>90</v>
      </c>
      <c r="Y11">
        <v>2</v>
      </c>
      <c r="Z11">
        <v>5</v>
      </c>
      <c r="AA11">
        <v>3</v>
      </c>
      <c r="AB11">
        <v>5</v>
      </c>
      <c r="AC11">
        <v>5</v>
      </c>
      <c r="AD11" s="18">
        <v>5</v>
      </c>
      <c r="AE11" t="s">
        <v>81</v>
      </c>
      <c r="AF11" t="s">
        <v>82</v>
      </c>
      <c r="AG11" t="s">
        <v>83</v>
      </c>
      <c r="AH11" t="s">
        <v>84</v>
      </c>
    </row>
    <row r="12" spans="1:34">
      <c r="A12" s="12">
        <v>45978.644282407397</v>
      </c>
      <c r="B12" s="8" t="s">
        <v>85</v>
      </c>
      <c r="C12" s="13">
        <v>23</v>
      </c>
      <c r="D12" s="13" t="s">
        <v>46</v>
      </c>
      <c r="E12" s="13" t="s">
        <v>79</v>
      </c>
      <c r="F12" s="13" t="s">
        <v>39</v>
      </c>
      <c r="G12" s="13" t="s">
        <v>40</v>
      </c>
      <c r="H12" t="s">
        <v>41</v>
      </c>
      <c r="I12" s="13">
        <v>3</v>
      </c>
      <c r="J12" s="13">
        <v>3</v>
      </c>
      <c r="K12" s="13">
        <v>4</v>
      </c>
      <c r="L12" s="19">
        <v>4</v>
      </c>
      <c r="M12" t="str">
        <f t="shared" si="0"/>
        <v>Experienced</v>
      </c>
      <c r="N12" s="13">
        <v>5</v>
      </c>
      <c r="O12" s="13">
        <v>2</v>
      </c>
      <c r="P12" s="13">
        <v>4</v>
      </c>
      <c r="Q12" s="13">
        <v>3</v>
      </c>
      <c r="R12" s="13">
        <v>5</v>
      </c>
      <c r="S12" s="13">
        <v>1</v>
      </c>
      <c r="T12" s="13">
        <v>2</v>
      </c>
      <c r="U12" s="13">
        <v>1</v>
      </c>
      <c r="V12" s="13">
        <v>5</v>
      </c>
      <c r="W12" s="13">
        <v>4</v>
      </c>
      <c r="X12" s="18">
        <f t="shared" si="1"/>
        <v>75</v>
      </c>
      <c r="Y12" s="13">
        <v>4</v>
      </c>
      <c r="Z12" s="13">
        <v>5</v>
      </c>
      <c r="AA12" s="13">
        <v>5</v>
      </c>
      <c r="AB12" s="13">
        <v>5</v>
      </c>
      <c r="AC12" s="13">
        <v>3</v>
      </c>
      <c r="AD12" s="19">
        <v>5</v>
      </c>
      <c r="AE12" s="13"/>
      <c r="AF12" s="13"/>
      <c r="AG12" s="13"/>
      <c r="AH12" s="13"/>
    </row>
    <row r="13" spans="1:34">
      <c r="A13" s="9">
        <v>45944.484814814823</v>
      </c>
      <c r="B13" s="8" t="s">
        <v>86</v>
      </c>
      <c r="C13" s="11">
        <v>23</v>
      </c>
      <c r="D13" t="s">
        <v>46</v>
      </c>
      <c r="E13" t="s">
        <v>79</v>
      </c>
      <c r="F13" t="s">
        <v>39</v>
      </c>
      <c r="G13" t="s">
        <v>87</v>
      </c>
      <c r="H13" t="s">
        <v>41</v>
      </c>
      <c r="I13">
        <v>2</v>
      </c>
      <c r="J13">
        <v>1</v>
      </c>
      <c r="K13">
        <v>2</v>
      </c>
      <c r="L13" s="18">
        <v>1</v>
      </c>
      <c r="M13" t="str">
        <f t="shared" si="0"/>
        <v>Novice</v>
      </c>
      <c r="N13">
        <v>5</v>
      </c>
      <c r="O13">
        <v>2</v>
      </c>
      <c r="P13">
        <v>4</v>
      </c>
      <c r="Q13">
        <v>3</v>
      </c>
      <c r="R13">
        <v>5</v>
      </c>
      <c r="S13">
        <v>1</v>
      </c>
      <c r="T13">
        <v>4</v>
      </c>
      <c r="U13">
        <v>1</v>
      </c>
      <c r="V13">
        <v>5</v>
      </c>
      <c r="W13">
        <v>2</v>
      </c>
      <c r="X13" s="18">
        <f t="shared" si="1"/>
        <v>85</v>
      </c>
      <c r="Y13">
        <v>5</v>
      </c>
      <c r="Z13">
        <v>5</v>
      </c>
      <c r="AA13">
        <v>5</v>
      </c>
      <c r="AB13">
        <v>3</v>
      </c>
      <c r="AC13">
        <v>4</v>
      </c>
      <c r="AD13" s="18">
        <v>5</v>
      </c>
      <c r="AE13" t="s">
        <v>88</v>
      </c>
      <c r="AF13" t="s">
        <v>89</v>
      </c>
      <c r="AG13" t="s">
        <v>90</v>
      </c>
      <c r="AH13" t="s">
        <v>91</v>
      </c>
    </row>
    <row r="14" spans="1:34">
      <c r="A14" s="9">
        <v>45959.696053240739</v>
      </c>
      <c r="B14" s="8" t="s">
        <v>92</v>
      </c>
      <c r="C14" s="11">
        <v>24</v>
      </c>
      <c r="D14" t="s">
        <v>46</v>
      </c>
      <c r="E14" t="s">
        <v>38</v>
      </c>
      <c r="F14" t="s">
        <v>39</v>
      </c>
      <c r="G14" t="s">
        <v>40</v>
      </c>
      <c r="H14" t="s">
        <v>48</v>
      </c>
      <c r="I14">
        <v>1</v>
      </c>
      <c r="J14">
        <v>1</v>
      </c>
      <c r="K14">
        <v>1</v>
      </c>
      <c r="L14" s="18">
        <v>1</v>
      </c>
      <c r="M14" t="str">
        <f t="shared" si="0"/>
        <v>Novice</v>
      </c>
      <c r="N14">
        <v>4</v>
      </c>
      <c r="O14">
        <v>1</v>
      </c>
      <c r="P14">
        <v>5</v>
      </c>
      <c r="Q14">
        <v>2</v>
      </c>
      <c r="R14">
        <v>5</v>
      </c>
      <c r="S14">
        <v>1</v>
      </c>
      <c r="T14">
        <v>5</v>
      </c>
      <c r="U14">
        <v>2</v>
      </c>
      <c r="V14">
        <v>4</v>
      </c>
      <c r="W14">
        <v>3</v>
      </c>
      <c r="X14" s="18">
        <f t="shared" si="1"/>
        <v>85</v>
      </c>
      <c r="Y14">
        <v>4</v>
      </c>
      <c r="Z14">
        <v>1</v>
      </c>
      <c r="AA14">
        <v>5</v>
      </c>
      <c r="AB14">
        <v>2</v>
      </c>
      <c r="AC14">
        <v>5</v>
      </c>
      <c r="AD14" s="18">
        <v>1</v>
      </c>
      <c r="AE14" t="s">
        <v>93</v>
      </c>
      <c r="AF14" t="s">
        <v>94</v>
      </c>
      <c r="AG14" t="s">
        <v>95</v>
      </c>
      <c r="AH14" t="s">
        <v>96</v>
      </c>
    </row>
    <row r="15" spans="1:34">
      <c r="A15" s="9">
        <v>45931.689293981479</v>
      </c>
      <c r="B15" s="8" t="s">
        <v>97</v>
      </c>
      <c r="C15" s="11">
        <v>47</v>
      </c>
      <c r="D15" t="s">
        <v>46</v>
      </c>
      <c r="E15" t="s">
        <v>79</v>
      </c>
      <c r="F15" t="s">
        <v>39</v>
      </c>
      <c r="G15" t="s">
        <v>59</v>
      </c>
      <c r="H15" t="s">
        <v>48</v>
      </c>
      <c r="I15">
        <v>22</v>
      </c>
      <c r="J15">
        <v>5</v>
      </c>
      <c r="K15">
        <v>5</v>
      </c>
      <c r="L15" s="18">
        <v>5</v>
      </c>
      <c r="M15" t="str">
        <f t="shared" si="0"/>
        <v>Experienced</v>
      </c>
      <c r="N15">
        <v>5</v>
      </c>
      <c r="O15">
        <v>2</v>
      </c>
      <c r="P15">
        <v>5</v>
      </c>
      <c r="Q15">
        <v>2</v>
      </c>
      <c r="R15">
        <v>4</v>
      </c>
      <c r="S15">
        <v>2</v>
      </c>
      <c r="T15">
        <v>4</v>
      </c>
      <c r="U15">
        <v>1</v>
      </c>
      <c r="V15">
        <v>5</v>
      </c>
      <c r="W15">
        <v>1</v>
      </c>
      <c r="X15" s="18">
        <f t="shared" si="1"/>
        <v>87.5</v>
      </c>
      <c r="Y15">
        <v>5</v>
      </c>
      <c r="Z15">
        <v>5</v>
      </c>
      <c r="AA15">
        <v>5</v>
      </c>
      <c r="AB15">
        <v>5</v>
      </c>
      <c r="AC15">
        <v>5</v>
      </c>
      <c r="AD15" s="18">
        <v>5</v>
      </c>
      <c r="AE15" t="s">
        <v>98</v>
      </c>
      <c r="AH15" t="s">
        <v>99</v>
      </c>
    </row>
    <row r="16" spans="1:34">
      <c r="A16" s="9">
        <v>45938.574050925927</v>
      </c>
      <c r="B16" s="8" t="s">
        <v>100</v>
      </c>
      <c r="C16" s="11">
        <v>50</v>
      </c>
      <c r="D16" t="s">
        <v>46</v>
      </c>
      <c r="E16" t="s">
        <v>47</v>
      </c>
      <c r="F16" t="s">
        <v>39</v>
      </c>
      <c r="G16" t="s">
        <v>59</v>
      </c>
      <c r="H16" t="s">
        <v>48</v>
      </c>
      <c r="I16">
        <v>27</v>
      </c>
      <c r="J16">
        <v>5</v>
      </c>
      <c r="K16">
        <v>4</v>
      </c>
      <c r="L16" s="18">
        <v>4</v>
      </c>
      <c r="M16" t="str">
        <f t="shared" si="0"/>
        <v>Experienced</v>
      </c>
      <c r="N16">
        <v>3</v>
      </c>
      <c r="O16">
        <v>2</v>
      </c>
      <c r="P16">
        <v>4</v>
      </c>
      <c r="Q16">
        <v>4</v>
      </c>
      <c r="R16">
        <v>4</v>
      </c>
      <c r="S16">
        <v>3</v>
      </c>
      <c r="T16">
        <v>3</v>
      </c>
      <c r="U16">
        <v>2</v>
      </c>
      <c r="V16">
        <v>3</v>
      </c>
      <c r="W16">
        <v>4</v>
      </c>
      <c r="X16" s="18">
        <f t="shared" si="1"/>
        <v>55</v>
      </c>
      <c r="Y16">
        <v>4</v>
      </c>
      <c r="Z16">
        <v>4</v>
      </c>
      <c r="AA16">
        <v>5</v>
      </c>
      <c r="AB16">
        <v>2</v>
      </c>
      <c r="AC16">
        <v>3</v>
      </c>
      <c r="AD16" s="18">
        <v>2</v>
      </c>
      <c r="AE16" t="s">
        <v>101</v>
      </c>
      <c r="AF16" t="s">
        <v>102</v>
      </c>
      <c r="AG16" t="s">
        <v>103</v>
      </c>
      <c r="AH16" t="s">
        <v>104</v>
      </c>
    </row>
    <row r="17" spans="1:34">
      <c r="A17" s="9">
        <v>45959.66375</v>
      </c>
      <c r="B17" s="8" t="s">
        <v>105</v>
      </c>
      <c r="C17" s="11">
        <v>42</v>
      </c>
      <c r="D17" t="s">
        <v>46</v>
      </c>
      <c r="E17" t="s">
        <v>106</v>
      </c>
      <c r="F17" t="s">
        <v>39</v>
      </c>
      <c r="G17" t="s">
        <v>73</v>
      </c>
      <c r="H17" t="s">
        <v>107</v>
      </c>
      <c r="I17">
        <v>25</v>
      </c>
      <c r="J17">
        <v>4</v>
      </c>
      <c r="K17">
        <v>5</v>
      </c>
      <c r="L17" s="18">
        <v>5</v>
      </c>
      <c r="M17" t="str">
        <f t="shared" si="0"/>
        <v>Experienced</v>
      </c>
      <c r="N17">
        <v>5</v>
      </c>
      <c r="O17">
        <v>4</v>
      </c>
      <c r="P17">
        <v>5</v>
      </c>
      <c r="Q17">
        <v>4</v>
      </c>
      <c r="R17">
        <v>5</v>
      </c>
      <c r="S17">
        <v>4</v>
      </c>
      <c r="T17">
        <v>4</v>
      </c>
      <c r="U17">
        <v>2</v>
      </c>
      <c r="V17">
        <v>4</v>
      </c>
      <c r="W17">
        <v>2</v>
      </c>
      <c r="X17" s="18">
        <f t="shared" si="1"/>
        <v>67.5</v>
      </c>
      <c r="Y17">
        <v>4</v>
      </c>
      <c r="Z17">
        <v>4</v>
      </c>
      <c r="AA17">
        <v>4</v>
      </c>
      <c r="AB17">
        <v>4</v>
      </c>
      <c r="AC17">
        <v>5</v>
      </c>
      <c r="AD17" s="18">
        <v>4</v>
      </c>
      <c r="AE17" t="s">
        <v>108</v>
      </c>
      <c r="AF17" t="s">
        <v>109</v>
      </c>
      <c r="AG17" t="s">
        <v>110</v>
      </c>
      <c r="AH17" t="s">
        <v>111</v>
      </c>
    </row>
    <row r="18" spans="1:34">
      <c r="A18" s="9">
        <v>45933.512037037042</v>
      </c>
      <c r="B18" s="8" t="s">
        <v>112</v>
      </c>
      <c r="C18" s="11">
        <v>27</v>
      </c>
      <c r="D18" t="s">
        <v>46</v>
      </c>
      <c r="E18" t="s">
        <v>47</v>
      </c>
      <c r="F18" t="s">
        <v>39</v>
      </c>
      <c r="G18" t="s">
        <v>59</v>
      </c>
      <c r="H18" t="s">
        <v>41</v>
      </c>
      <c r="I18">
        <v>5</v>
      </c>
      <c r="J18">
        <v>3</v>
      </c>
      <c r="K18">
        <v>4</v>
      </c>
      <c r="L18" s="18">
        <v>3</v>
      </c>
      <c r="M18" t="str">
        <f t="shared" si="0"/>
        <v>Experienced</v>
      </c>
      <c r="N18">
        <v>5</v>
      </c>
      <c r="O18">
        <v>2</v>
      </c>
      <c r="P18">
        <v>1</v>
      </c>
      <c r="Q18">
        <v>2</v>
      </c>
      <c r="R18">
        <v>5</v>
      </c>
      <c r="S18">
        <v>1</v>
      </c>
      <c r="T18">
        <v>4</v>
      </c>
      <c r="U18">
        <v>1</v>
      </c>
      <c r="V18">
        <v>5</v>
      </c>
      <c r="W18">
        <v>3</v>
      </c>
      <c r="X18" s="18">
        <f t="shared" si="1"/>
        <v>77.5</v>
      </c>
      <c r="Y18">
        <v>5</v>
      </c>
      <c r="Z18">
        <v>5</v>
      </c>
      <c r="AA18">
        <v>5</v>
      </c>
      <c r="AB18">
        <v>3</v>
      </c>
      <c r="AC18">
        <v>4</v>
      </c>
      <c r="AD18" s="18">
        <v>3</v>
      </c>
      <c r="AE18" t="s">
        <v>113</v>
      </c>
      <c r="AF18" t="s">
        <v>114</v>
      </c>
      <c r="AG18" t="s">
        <v>115</v>
      </c>
      <c r="AH18" t="s">
        <v>116</v>
      </c>
    </row>
    <row r="19" spans="1:34">
      <c r="A19" s="9">
        <v>45934.748807870368</v>
      </c>
      <c r="B19" s="8" t="s">
        <v>117</v>
      </c>
      <c r="C19" s="11">
        <v>46</v>
      </c>
      <c r="D19" t="s">
        <v>46</v>
      </c>
      <c r="E19" t="s">
        <v>38</v>
      </c>
      <c r="F19" t="s">
        <v>39</v>
      </c>
      <c r="H19" t="s">
        <v>41</v>
      </c>
      <c r="I19">
        <v>20</v>
      </c>
      <c r="J19">
        <v>1</v>
      </c>
      <c r="K19">
        <v>1</v>
      </c>
      <c r="L19" s="18">
        <v>1</v>
      </c>
      <c r="M19" t="str">
        <f t="shared" si="0"/>
        <v>Novice</v>
      </c>
      <c r="N19">
        <v>3</v>
      </c>
      <c r="O19">
        <v>2</v>
      </c>
      <c r="P19">
        <v>3</v>
      </c>
      <c r="Q19">
        <v>4</v>
      </c>
      <c r="R19">
        <v>4</v>
      </c>
      <c r="S19">
        <v>2</v>
      </c>
      <c r="T19">
        <v>3</v>
      </c>
      <c r="U19">
        <v>2</v>
      </c>
      <c r="V19">
        <v>5</v>
      </c>
      <c r="W19">
        <v>2</v>
      </c>
      <c r="X19" s="18">
        <f t="shared" si="1"/>
        <v>65</v>
      </c>
      <c r="Y19">
        <v>4</v>
      </c>
      <c r="Z19">
        <v>4</v>
      </c>
      <c r="AA19">
        <v>4</v>
      </c>
      <c r="AB19">
        <v>4</v>
      </c>
      <c r="AC19">
        <v>3</v>
      </c>
      <c r="AD19" s="18">
        <v>2</v>
      </c>
      <c r="AE19" t="s">
        <v>118</v>
      </c>
      <c r="AF19" t="s">
        <v>119</v>
      </c>
    </row>
    <row r="20" spans="1:34">
      <c r="A20" s="9">
        <v>45932.361215277779</v>
      </c>
      <c r="B20" s="8" t="s">
        <v>120</v>
      </c>
      <c r="C20" s="11">
        <v>20</v>
      </c>
      <c r="D20" t="s">
        <v>46</v>
      </c>
      <c r="E20" t="s">
        <v>38</v>
      </c>
      <c r="F20" t="s">
        <v>39</v>
      </c>
      <c r="G20" t="s">
        <v>59</v>
      </c>
      <c r="H20" t="s">
        <v>41</v>
      </c>
      <c r="I20">
        <v>0</v>
      </c>
      <c r="J20">
        <v>1</v>
      </c>
      <c r="K20">
        <v>1</v>
      </c>
      <c r="L20" s="18">
        <v>1</v>
      </c>
      <c r="M20" t="str">
        <f t="shared" si="0"/>
        <v>Novice</v>
      </c>
      <c r="N20">
        <v>5</v>
      </c>
      <c r="O20">
        <v>2</v>
      </c>
      <c r="P20">
        <v>3</v>
      </c>
      <c r="Q20">
        <v>2</v>
      </c>
      <c r="R20">
        <v>5</v>
      </c>
      <c r="S20">
        <v>2</v>
      </c>
      <c r="T20">
        <v>5</v>
      </c>
      <c r="U20">
        <v>1</v>
      </c>
      <c r="V20">
        <v>4</v>
      </c>
      <c r="W20">
        <v>1</v>
      </c>
      <c r="X20" s="18">
        <f t="shared" si="1"/>
        <v>85</v>
      </c>
      <c r="Y20">
        <v>5</v>
      </c>
      <c r="Z20">
        <v>5</v>
      </c>
      <c r="AA20">
        <v>4</v>
      </c>
      <c r="AB20">
        <v>4</v>
      </c>
      <c r="AC20">
        <v>4</v>
      </c>
      <c r="AD20" s="18">
        <v>5</v>
      </c>
      <c r="AE20" t="s">
        <v>121</v>
      </c>
      <c r="AF20" t="s">
        <v>122</v>
      </c>
      <c r="AG20" t="s">
        <v>123</v>
      </c>
      <c r="AH20" t="s">
        <v>123</v>
      </c>
    </row>
    <row r="21" spans="1:34">
      <c r="A21" s="9">
        <v>45926.463333333333</v>
      </c>
      <c r="B21" s="8" t="s">
        <v>124</v>
      </c>
      <c r="C21" s="11">
        <v>23</v>
      </c>
      <c r="D21" t="s">
        <v>46</v>
      </c>
      <c r="E21" t="s">
        <v>47</v>
      </c>
      <c r="F21" t="s">
        <v>39</v>
      </c>
      <c r="G21" t="s">
        <v>73</v>
      </c>
      <c r="H21" t="s">
        <v>125</v>
      </c>
      <c r="I21">
        <v>5</v>
      </c>
      <c r="J21">
        <v>1</v>
      </c>
      <c r="K21">
        <v>3</v>
      </c>
      <c r="L21" s="18">
        <v>1</v>
      </c>
      <c r="M21" t="str">
        <f t="shared" si="0"/>
        <v>Novice</v>
      </c>
      <c r="N21">
        <v>4</v>
      </c>
      <c r="O21">
        <v>1</v>
      </c>
      <c r="P21">
        <v>3</v>
      </c>
      <c r="Q21">
        <v>2</v>
      </c>
      <c r="R21">
        <v>5</v>
      </c>
      <c r="S21">
        <v>1</v>
      </c>
      <c r="T21">
        <v>3</v>
      </c>
      <c r="U21">
        <v>1</v>
      </c>
      <c r="V21">
        <v>5</v>
      </c>
      <c r="W21">
        <v>1</v>
      </c>
      <c r="X21" s="18">
        <f t="shared" si="1"/>
        <v>85</v>
      </c>
      <c r="Y21">
        <v>5</v>
      </c>
      <c r="Z21">
        <v>5</v>
      </c>
      <c r="AA21">
        <v>3</v>
      </c>
      <c r="AB21">
        <v>3</v>
      </c>
      <c r="AC21">
        <v>5</v>
      </c>
      <c r="AD21" s="18">
        <v>5</v>
      </c>
      <c r="AE21" t="s">
        <v>126</v>
      </c>
      <c r="AF21" t="s">
        <v>127</v>
      </c>
      <c r="AG21" t="s">
        <v>128</v>
      </c>
      <c r="AH21" t="s">
        <v>129</v>
      </c>
    </row>
    <row r="22" spans="1:34" s="13" customFormat="1">
      <c r="A22" s="9">
        <v>45938.54010416667</v>
      </c>
      <c r="B22" s="8" t="s">
        <v>130</v>
      </c>
      <c r="C22" s="11">
        <v>45</v>
      </c>
      <c r="D22" t="s">
        <v>46</v>
      </c>
      <c r="E22" t="s">
        <v>38</v>
      </c>
      <c r="F22" t="s">
        <v>39</v>
      </c>
      <c r="G22" t="s">
        <v>40</v>
      </c>
      <c r="H22" t="s">
        <v>41</v>
      </c>
      <c r="I22">
        <v>20</v>
      </c>
      <c r="J22">
        <v>5</v>
      </c>
      <c r="K22">
        <v>5</v>
      </c>
      <c r="L22" s="18">
        <v>4</v>
      </c>
      <c r="M22" t="str">
        <f t="shared" si="0"/>
        <v>Experienced</v>
      </c>
      <c r="N22">
        <v>3</v>
      </c>
      <c r="O22">
        <v>2</v>
      </c>
      <c r="P22">
        <v>4</v>
      </c>
      <c r="Q22">
        <v>3</v>
      </c>
      <c r="R22">
        <v>4</v>
      </c>
      <c r="S22">
        <v>1</v>
      </c>
      <c r="T22">
        <v>4</v>
      </c>
      <c r="U22">
        <v>4</v>
      </c>
      <c r="V22">
        <v>5</v>
      </c>
      <c r="W22">
        <v>2</v>
      </c>
      <c r="X22" s="18">
        <f t="shared" si="1"/>
        <v>70</v>
      </c>
      <c r="Y22">
        <v>4</v>
      </c>
      <c r="Z22">
        <v>3</v>
      </c>
      <c r="AA22">
        <v>3</v>
      </c>
      <c r="AB22">
        <v>2</v>
      </c>
      <c r="AC22">
        <v>3</v>
      </c>
      <c r="AD22" s="18">
        <v>3</v>
      </c>
      <c r="AE22" t="s">
        <v>131</v>
      </c>
      <c r="AF22" t="s">
        <v>132</v>
      </c>
      <c r="AG22" t="s">
        <v>133</v>
      </c>
      <c r="AH22" t="s">
        <v>134</v>
      </c>
    </row>
    <row r="23" spans="1:34">
      <c r="A23" s="29">
        <v>45968.574050925927</v>
      </c>
      <c r="B23" s="30" t="s">
        <v>135</v>
      </c>
      <c r="C23" s="31">
        <v>23.75</v>
      </c>
      <c r="D23" s="32" t="s">
        <v>46</v>
      </c>
      <c r="E23" s="32" t="s">
        <v>47</v>
      </c>
      <c r="F23" s="32" t="s">
        <v>39</v>
      </c>
      <c r="G23" s="32" t="s">
        <v>59</v>
      </c>
      <c r="H23" t="s">
        <v>80</v>
      </c>
      <c r="I23" s="32">
        <v>2</v>
      </c>
      <c r="J23" s="32">
        <v>1</v>
      </c>
      <c r="K23" s="32">
        <v>4</v>
      </c>
      <c r="L23" s="33">
        <v>2</v>
      </c>
      <c r="M23" s="32" t="str">
        <f t="shared" si="0"/>
        <v>Novice</v>
      </c>
      <c r="N23" s="32">
        <v>3</v>
      </c>
      <c r="O23" s="32">
        <v>2</v>
      </c>
      <c r="P23" s="32">
        <v>4</v>
      </c>
      <c r="Q23" s="32">
        <v>4</v>
      </c>
      <c r="R23" s="32">
        <v>4</v>
      </c>
      <c r="S23" s="32">
        <v>3</v>
      </c>
      <c r="T23" s="32">
        <v>3</v>
      </c>
      <c r="U23" s="32">
        <v>2</v>
      </c>
      <c r="V23" s="32">
        <v>3</v>
      </c>
      <c r="W23" s="32">
        <v>4</v>
      </c>
      <c r="X23" s="18">
        <f t="shared" si="1"/>
        <v>55</v>
      </c>
      <c r="Y23" s="32">
        <v>4</v>
      </c>
      <c r="Z23" s="32">
        <v>4</v>
      </c>
      <c r="AA23" s="32">
        <v>4</v>
      </c>
      <c r="AB23" s="32">
        <v>5</v>
      </c>
      <c r="AC23" s="32">
        <v>3</v>
      </c>
      <c r="AD23" s="33">
        <v>3</v>
      </c>
      <c r="AE23" s="32" t="s">
        <v>101</v>
      </c>
      <c r="AF23" s="32" t="s">
        <v>102</v>
      </c>
      <c r="AG23" s="32" t="s">
        <v>103</v>
      </c>
      <c r="AH23" s="32" t="s">
        <v>104</v>
      </c>
    </row>
    <row r="24" spans="1:34">
      <c r="A24" s="29">
        <v>45990.692881944437</v>
      </c>
      <c r="B24" s="30" t="s">
        <v>136</v>
      </c>
      <c r="C24" s="31">
        <v>23.75</v>
      </c>
      <c r="D24" s="32" t="s">
        <v>46</v>
      </c>
      <c r="E24" s="32" t="s">
        <v>47</v>
      </c>
      <c r="F24" s="32" t="s">
        <v>39</v>
      </c>
      <c r="G24" s="32" t="s">
        <v>40</v>
      </c>
      <c r="H24" t="s">
        <v>80</v>
      </c>
      <c r="I24" s="32">
        <v>2</v>
      </c>
      <c r="J24" s="32">
        <v>1</v>
      </c>
      <c r="K24" s="32">
        <v>1</v>
      </c>
      <c r="L24" s="33">
        <v>2</v>
      </c>
      <c r="M24" s="32" t="str">
        <f t="shared" si="0"/>
        <v>Novice</v>
      </c>
      <c r="N24" s="32">
        <v>2</v>
      </c>
      <c r="O24" s="32">
        <v>3</v>
      </c>
      <c r="P24" s="32">
        <v>3</v>
      </c>
      <c r="Q24" s="32">
        <v>5</v>
      </c>
      <c r="R24" s="32">
        <v>4</v>
      </c>
      <c r="S24" s="32">
        <v>2</v>
      </c>
      <c r="T24" s="32">
        <v>2</v>
      </c>
      <c r="U24" s="32">
        <v>1</v>
      </c>
      <c r="V24" s="32">
        <v>1</v>
      </c>
      <c r="W24" s="32">
        <v>4</v>
      </c>
      <c r="X24" s="18">
        <f t="shared" si="1"/>
        <v>42.5</v>
      </c>
      <c r="Y24" s="32">
        <v>4</v>
      </c>
      <c r="Z24" s="32">
        <v>4</v>
      </c>
      <c r="AA24" s="32">
        <v>4</v>
      </c>
      <c r="AB24" s="32">
        <v>5</v>
      </c>
      <c r="AC24" s="32">
        <v>3</v>
      </c>
      <c r="AD24" s="33">
        <v>3</v>
      </c>
      <c r="AE24" s="32" t="s">
        <v>49</v>
      </c>
      <c r="AF24" s="32" t="s">
        <v>50</v>
      </c>
      <c r="AG24" s="32" t="s">
        <v>51</v>
      </c>
      <c r="AH24" s="32" t="s">
        <v>52</v>
      </c>
    </row>
    <row r="25" spans="1:34">
      <c r="A25" s="29">
        <v>45970.547256944446</v>
      </c>
      <c r="B25" s="30" t="s">
        <v>137</v>
      </c>
      <c r="C25" s="31">
        <v>23.75</v>
      </c>
      <c r="D25" s="32" t="s">
        <v>37</v>
      </c>
      <c r="E25" s="32" t="s">
        <v>38</v>
      </c>
      <c r="F25" s="32" t="s">
        <v>39</v>
      </c>
      <c r="G25" s="32" t="s">
        <v>40</v>
      </c>
      <c r="H25" t="s">
        <v>80</v>
      </c>
      <c r="I25" s="32">
        <v>2</v>
      </c>
      <c r="J25" s="32">
        <v>3</v>
      </c>
      <c r="K25" s="32">
        <v>4</v>
      </c>
      <c r="L25" s="33">
        <v>1</v>
      </c>
      <c r="M25" s="32" t="str">
        <f t="shared" si="0"/>
        <v>Novice</v>
      </c>
      <c r="N25" s="32">
        <v>4</v>
      </c>
      <c r="O25" s="32">
        <v>2</v>
      </c>
      <c r="P25" s="32">
        <v>4</v>
      </c>
      <c r="Q25" s="32">
        <v>2</v>
      </c>
      <c r="R25" s="32">
        <v>4</v>
      </c>
      <c r="S25" s="32">
        <v>1</v>
      </c>
      <c r="T25" s="32">
        <v>4</v>
      </c>
      <c r="U25" s="32">
        <v>1</v>
      </c>
      <c r="V25" s="32">
        <v>4</v>
      </c>
      <c r="W25" s="32">
        <v>3</v>
      </c>
      <c r="X25" s="18">
        <f t="shared" si="1"/>
        <v>77.5</v>
      </c>
      <c r="Y25" s="32">
        <v>4</v>
      </c>
      <c r="Z25" s="32">
        <v>5</v>
      </c>
      <c r="AA25" s="32">
        <v>4</v>
      </c>
      <c r="AB25" s="32">
        <v>5</v>
      </c>
      <c r="AC25" s="32">
        <v>4</v>
      </c>
      <c r="AD25" s="33">
        <v>5</v>
      </c>
      <c r="AE25" s="32" t="s">
        <v>42</v>
      </c>
      <c r="AF25" s="32" t="s">
        <v>43</v>
      </c>
      <c r="AG25" s="32"/>
      <c r="AH25" s="32"/>
    </row>
    <row r="26" spans="1:34">
      <c r="A26" s="29">
        <v>45977.459097222221</v>
      </c>
      <c r="B26" s="30" t="s">
        <v>138</v>
      </c>
      <c r="C26" s="31">
        <v>23.75</v>
      </c>
      <c r="D26" s="32" t="s">
        <v>46</v>
      </c>
      <c r="E26" s="32" t="s">
        <v>47</v>
      </c>
      <c r="F26" s="32" t="s">
        <v>39</v>
      </c>
      <c r="G26" s="32" t="s">
        <v>40</v>
      </c>
      <c r="H26" t="s">
        <v>80</v>
      </c>
      <c r="I26" s="32">
        <v>2</v>
      </c>
      <c r="J26" s="32">
        <v>3</v>
      </c>
      <c r="K26" s="32">
        <v>5</v>
      </c>
      <c r="L26" s="33">
        <v>1</v>
      </c>
      <c r="M26" s="32" t="str">
        <f t="shared" si="0"/>
        <v>Novice</v>
      </c>
      <c r="N26" s="32">
        <v>5</v>
      </c>
      <c r="O26" s="32">
        <v>1</v>
      </c>
      <c r="P26" s="32">
        <v>4</v>
      </c>
      <c r="Q26" s="32">
        <v>2</v>
      </c>
      <c r="R26" s="32">
        <v>5</v>
      </c>
      <c r="S26" s="32">
        <v>1</v>
      </c>
      <c r="T26" s="32">
        <v>4</v>
      </c>
      <c r="U26" s="32">
        <v>1</v>
      </c>
      <c r="V26" s="32">
        <v>4</v>
      </c>
      <c r="W26" s="32">
        <v>2</v>
      </c>
      <c r="X26" s="18">
        <f t="shared" si="1"/>
        <v>87.5</v>
      </c>
      <c r="Y26" s="32">
        <v>5</v>
      </c>
      <c r="Z26" s="32">
        <v>5</v>
      </c>
      <c r="AA26" s="32">
        <v>5</v>
      </c>
      <c r="AB26" s="32">
        <v>4</v>
      </c>
      <c r="AC26" s="32">
        <v>4</v>
      </c>
      <c r="AD26" s="33">
        <v>5</v>
      </c>
      <c r="AE26" s="32" t="s">
        <v>54</v>
      </c>
      <c r="AF26" s="32" t="s">
        <v>55</v>
      </c>
      <c r="AG26" s="32"/>
      <c r="AH26" s="32" t="s">
        <v>57</v>
      </c>
    </row>
    <row r="27" spans="1:34">
      <c r="A27" s="29">
        <v>45972.545254629629</v>
      </c>
      <c r="B27" s="30" t="s">
        <v>139</v>
      </c>
      <c r="C27" s="31">
        <v>27</v>
      </c>
      <c r="D27" s="32" t="s">
        <v>46</v>
      </c>
      <c r="E27" s="32" t="s">
        <v>38</v>
      </c>
      <c r="F27" s="32" t="s">
        <v>39</v>
      </c>
      <c r="G27" s="32" t="s">
        <v>71</v>
      </c>
      <c r="H27" s="32" t="s">
        <v>41</v>
      </c>
      <c r="I27" s="32">
        <v>5</v>
      </c>
      <c r="J27" s="32">
        <v>5</v>
      </c>
      <c r="K27" s="32">
        <v>3</v>
      </c>
      <c r="L27" s="33">
        <v>3</v>
      </c>
      <c r="M27" s="32" t="str">
        <f t="shared" si="0"/>
        <v>Experienced</v>
      </c>
      <c r="N27" s="32">
        <v>3</v>
      </c>
      <c r="O27" s="32">
        <v>2</v>
      </c>
      <c r="P27" s="32">
        <v>3</v>
      </c>
      <c r="Q27" s="32">
        <v>3</v>
      </c>
      <c r="R27" s="32">
        <v>4</v>
      </c>
      <c r="S27" s="32">
        <v>1</v>
      </c>
      <c r="T27" s="32">
        <v>3</v>
      </c>
      <c r="U27" s="32">
        <v>1</v>
      </c>
      <c r="V27" s="32">
        <v>4</v>
      </c>
      <c r="W27" s="32">
        <v>1</v>
      </c>
      <c r="X27" s="18">
        <f t="shared" si="1"/>
        <v>72.5</v>
      </c>
      <c r="Y27" s="32">
        <v>5</v>
      </c>
      <c r="Z27" s="32">
        <v>5</v>
      </c>
      <c r="AA27" s="32">
        <v>5</v>
      </c>
      <c r="AB27" s="32">
        <v>4</v>
      </c>
      <c r="AC27" s="32">
        <v>5</v>
      </c>
      <c r="AD27" s="33">
        <v>5</v>
      </c>
      <c r="AE27" s="32"/>
      <c r="AF27" s="32"/>
      <c r="AG27" s="32"/>
      <c r="AH27" s="32"/>
    </row>
    <row r="28" spans="1:34">
      <c r="A28" s="29">
        <v>45994.688252314823</v>
      </c>
      <c r="B28" s="30" t="s">
        <v>140</v>
      </c>
      <c r="C28" s="31">
        <v>30</v>
      </c>
      <c r="D28" s="32" t="s">
        <v>46</v>
      </c>
      <c r="E28" s="32" t="s">
        <v>47</v>
      </c>
      <c r="F28" s="32" t="s">
        <v>39</v>
      </c>
      <c r="G28" s="32" t="s">
        <v>73</v>
      </c>
      <c r="H28" t="s">
        <v>80</v>
      </c>
      <c r="I28" s="32">
        <v>4</v>
      </c>
      <c r="J28" s="32">
        <v>5</v>
      </c>
      <c r="K28" s="32">
        <v>2</v>
      </c>
      <c r="L28" s="33">
        <v>0</v>
      </c>
      <c r="M28" s="32" t="str">
        <f t="shared" si="0"/>
        <v>Novice</v>
      </c>
      <c r="N28" s="32">
        <v>2</v>
      </c>
      <c r="O28" s="32">
        <v>2</v>
      </c>
      <c r="P28" s="32">
        <v>3</v>
      </c>
      <c r="Q28" s="32">
        <v>4</v>
      </c>
      <c r="R28" s="32">
        <v>3</v>
      </c>
      <c r="S28" s="32">
        <v>2</v>
      </c>
      <c r="T28" s="32">
        <v>4</v>
      </c>
      <c r="U28" s="32">
        <v>2</v>
      </c>
      <c r="V28" s="32">
        <v>4</v>
      </c>
      <c r="W28" s="32">
        <v>2</v>
      </c>
      <c r="X28" s="18">
        <f t="shared" si="1"/>
        <v>60</v>
      </c>
      <c r="Y28" s="32">
        <v>5</v>
      </c>
      <c r="Z28" s="32">
        <v>5</v>
      </c>
      <c r="AA28" s="32">
        <v>5</v>
      </c>
      <c r="AB28" s="32">
        <v>4</v>
      </c>
      <c r="AC28" s="32">
        <v>4</v>
      </c>
      <c r="AD28" s="33">
        <v>5</v>
      </c>
      <c r="AE28" s="32" t="s">
        <v>74</v>
      </c>
      <c r="AF28" s="32"/>
      <c r="AG28" s="32"/>
      <c r="AH28" s="32" t="s">
        <v>77</v>
      </c>
    </row>
    <row r="29" spans="1:34">
      <c r="A29" s="29">
        <v>45970.752974537027</v>
      </c>
      <c r="B29" s="30" t="s">
        <v>141</v>
      </c>
      <c r="C29" s="31">
        <v>39</v>
      </c>
      <c r="D29" s="32" t="s">
        <v>46</v>
      </c>
      <c r="E29" s="32" t="s">
        <v>38</v>
      </c>
      <c r="F29" s="32" t="s">
        <v>39</v>
      </c>
      <c r="G29" s="32"/>
      <c r="H29" s="32" t="s">
        <v>41</v>
      </c>
      <c r="I29" s="32">
        <v>15</v>
      </c>
      <c r="J29" s="32">
        <v>5</v>
      </c>
      <c r="K29" s="32">
        <v>1</v>
      </c>
      <c r="L29" s="33">
        <v>1</v>
      </c>
      <c r="M29" s="32" t="str">
        <f t="shared" si="0"/>
        <v>Novice</v>
      </c>
      <c r="N29" s="32">
        <v>3</v>
      </c>
      <c r="O29" s="32">
        <v>2</v>
      </c>
      <c r="P29" s="32">
        <v>4</v>
      </c>
      <c r="Q29" s="32">
        <v>4</v>
      </c>
      <c r="R29" s="32">
        <v>4</v>
      </c>
      <c r="S29" s="32">
        <v>1</v>
      </c>
      <c r="T29" s="32">
        <v>3</v>
      </c>
      <c r="U29" s="32">
        <v>2</v>
      </c>
      <c r="V29" s="32">
        <v>5</v>
      </c>
      <c r="W29" s="32">
        <v>1</v>
      </c>
      <c r="X29" s="18">
        <f t="shared" si="1"/>
        <v>72.5</v>
      </c>
      <c r="Y29" s="32">
        <v>5</v>
      </c>
      <c r="Z29" s="32">
        <v>5</v>
      </c>
      <c r="AA29" s="32">
        <v>5</v>
      </c>
      <c r="AB29" s="32">
        <v>4</v>
      </c>
      <c r="AC29" s="32">
        <v>5</v>
      </c>
      <c r="AD29" s="33">
        <v>5</v>
      </c>
      <c r="AE29" s="32" t="s">
        <v>118</v>
      </c>
      <c r="AF29" s="32"/>
      <c r="AG29" s="32"/>
      <c r="AH29" s="32"/>
    </row>
    <row r="30" spans="1:34">
      <c r="A30" s="29">
        <v>45975.544965277782</v>
      </c>
      <c r="B30" s="30" t="s">
        <v>142</v>
      </c>
      <c r="C30" s="31">
        <v>47</v>
      </c>
      <c r="D30" s="32" t="s">
        <v>46</v>
      </c>
      <c r="E30" s="32" t="s">
        <v>38</v>
      </c>
      <c r="F30" s="32" t="s">
        <v>39</v>
      </c>
      <c r="G30" s="32" t="s">
        <v>40</v>
      </c>
      <c r="H30" s="32" t="s">
        <v>41</v>
      </c>
      <c r="I30" s="32">
        <v>18</v>
      </c>
      <c r="J30" s="32">
        <v>5</v>
      </c>
      <c r="K30" s="32">
        <v>5</v>
      </c>
      <c r="L30" s="33">
        <v>5</v>
      </c>
      <c r="M30" s="32" t="str">
        <f t="shared" si="0"/>
        <v>Experienced</v>
      </c>
      <c r="N30" s="32">
        <v>5</v>
      </c>
      <c r="O30" s="32">
        <v>1</v>
      </c>
      <c r="P30" s="32">
        <v>4</v>
      </c>
      <c r="Q30" s="32">
        <v>3</v>
      </c>
      <c r="R30" s="32">
        <v>4</v>
      </c>
      <c r="S30" s="32">
        <v>1</v>
      </c>
      <c r="T30" s="32">
        <v>4</v>
      </c>
      <c r="U30" s="32">
        <v>4</v>
      </c>
      <c r="V30" s="32">
        <v>5</v>
      </c>
      <c r="W30" s="32">
        <v>2</v>
      </c>
      <c r="X30" s="18">
        <f t="shared" si="1"/>
        <v>77.5</v>
      </c>
      <c r="Y30" s="32">
        <v>5</v>
      </c>
      <c r="Z30" s="32">
        <v>5</v>
      </c>
      <c r="AA30" s="32">
        <v>5</v>
      </c>
      <c r="AB30" s="32">
        <v>4</v>
      </c>
      <c r="AC30" s="32">
        <v>5</v>
      </c>
      <c r="AD30" s="33">
        <v>5</v>
      </c>
      <c r="AE30" s="32" t="s">
        <v>131</v>
      </c>
      <c r="AF30" s="32"/>
      <c r="AG30" s="32"/>
      <c r="AH30" s="32" t="s">
        <v>134</v>
      </c>
    </row>
    <row r="31" spans="1:34">
      <c r="A31" s="29">
        <v>45976.551423611112</v>
      </c>
      <c r="B31" s="30" t="s">
        <v>143</v>
      </c>
      <c r="C31" s="31">
        <v>29</v>
      </c>
      <c r="D31" s="32" t="s">
        <v>37</v>
      </c>
      <c r="E31" s="32" t="s">
        <v>38</v>
      </c>
      <c r="F31" s="32" t="s">
        <v>39</v>
      </c>
      <c r="G31" s="32" t="s">
        <v>40</v>
      </c>
      <c r="H31" s="32" t="s">
        <v>41</v>
      </c>
      <c r="I31" s="32">
        <v>5</v>
      </c>
      <c r="J31" s="32">
        <v>5</v>
      </c>
      <c r="K31" s="32">
        <v>4</v>
      </c>
      <c r="L31" s="33">
        <v>2</v>
      </c>
      <c r="M31" s="32" t="str">
        <f t="shared" si="0"/>
        <v>Novice</v>
      </c>
      <c r="N31" s="32">
        <v>5</v>
      </c>
      <c r="O31" s="32">
        <v>2</v>
      </c>
      <c r="P31" s="32">
        <v>4</v>
      </c>
      <c r="Q31" s="32">
        <v>2</v>
      </c>
      <c r="R31" s="32">
        <v>4</v>
      </c>
      <c r="S31" s="32">
        <v>1</v>
      </c>
      <c r="T31" s="32">
        <v>4</v>
      </c>
      <c r="U31" s="32">
        <v>1</v>
      </c>
      <c r="V31" s="32">
        <v>4</v>
      </c>
      <c r="W31" s="32">
        <v>3</v>
      </c>
      <c r="X31" s="18">
        <f t="shared" si="1"/>
        <v>80</v>
      </c>
      <c r="Y31" s="32">
        <v>5</v>
      </c>
      <c r="Z31" s="32">
        <v>5</v>
      </c>
      <c r="AA31" s="32">
        <v>5</v>
      </c>
      <c r="AB31" s="32">
        <v>4</v>
      </c>
      <c r="AC31" s="32">
        <v>5</v>
      </c>
      <c r="AD31" s="33">
        <v>5</v>
      </c>
      <c r="AE31" s="32" t="s">
        <v>42</v>
      </c>
      <c r="AF31" s="32"/>
      <c r="AG31" s="32"/>
      <c r="AH31" s="32"/>
    </row>
    <row r="32" spans="1:34">
      <c r="A32" s="29">
        <v>45971.367465277777</v>
      </c>
      <c r="B32" s="30" t="s">
        <v>144</v>
      </c>
      <c r="C32" s="31">
        <v>26</v>
      </c>
      <c r="D32" s="32" t="s">
        <v>46</v>
      </c>
      <c r="E32" s="32" t="s">
        <v>47</v>
      </c>
      <c r="F32" s="32" t="s">
        <v>39</v>
      </c>
      <c r="G32" s="32" t="s">
        <v>59</v>
      </c>
      <c r="H32" s="32" t="s">
        <v>41</v>
      </c>
      <c r="I32" s="32">
        <v>8</v>
      </c>
      <c r="J32" s="32">
        <v>5</v>
      </c>
      <c r="K32" s="32">
        <v>1</v>
      </c>
      <c r="L32" s="33">
        <v>1</v>
      </c>
      <c r="M32" s="32" t="str">
        <f t="shared" si="0"/>
        <v>Novice</v>
      </c>
      <c r="N32" s="32">
        <v>5</v>
      </c>
      <c r="O32" s="32">
        <v>1</v>
      </c>
      <c r="P32" s="32">
        <v>5</v>
      </c>
      <c r="Q32" s="32">
        <v>2</v>
      </c>
      <c r="R32" s="32">
        <v>5</v>
      </c>
      <c r="S32" s="32">
        <v>2</v>
      </c>
      <c r="T32" s="32">
        <v>5</v>
      </c>
      <c r="U32" s="32">
        <v>1</v>
      </c>
      <c r="V32" s="32">
        <v>5</v>
      </c>
      <c r="W32" s="32">
        <v>1</v>
      </c>
      <c r="X32" s="18">
        <f t="shared" si="1"/>
        <v>95</v>
      </c>
      <c r="Y32" s="32">
        <v>5</v>
      </c>
      <c r="Z32" s="32">
        <v>5</v>
      </c>
      <c r="AA32" s="32">
        <v>5</v>
      </c>
      <c r="AB32" s="32">
        <v>4</v>
      </c>
      <c r="AC32" s="32">
        <v>5</v>
      </c>
      <c r="AD32" s="33">
        <v>5</v>
      </c>
      <c r="AE32" s="32" t="s">
        <v>121</v>
      </c>
      <c r="AF32" s="32"/>
      <c r="AG32" s="32" t="s">
        <v>123</v>
      </c>
      <c r="AH32" s="32" t="s">
        <v>123</v>
      </c>
    </row>
    <row r="34" spans="3:3">
      <c r="C34" s="31"/>
    </row>
    <row r="35" spans="3:3">
      <c r="C35" s="31"/>
    </row>
    <row r="36" spans="3:3">
      <c r="C36" s="31"/>
    </row>
    <row r="37" spans="3:3">
      <c r="C37" s="31"/>
    </row>
    <row r="38" spans="3:3">
      <c r="C38" s="31"/>
    </row>
  </sheetData>
  <mergeCells count="3">
    <mergeCell ref="C1:L1"/>
    <mergeCell ref="N1:X1"/>
    <mergeCell ref="Y1:AD1"/>
  </mergeCells>
  <pageMargins left="0.7" right="0.7" top="0.75" bottom="0.75" header="0.3" footer="0.3"/>
  <ignoredErrors>
    <ignoredError sqref="B3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workbookViewId="0">
      <selection activeCell="I19" sqref="I19"/>
    </sheetView>
  </sheetViews>
  <sheetFormatPr baseColWidth="10" defaultRowHeight="16"/>
  <cols>
    <col min="1" max="1" width="7.33203125" style="2" bestFit="1" customWidth="1"/>
    <col min="2" max="4" width="12.1640625" style="2" bestFit="1" customWidth="1"/>
    <col min="5" max="5" width="13.33203125" style="2" customWidth="1"/>
    <col min="6" max="6" width="14.83203125" style="2" bestFit="1" customWidth="1"/>
    <col min="7" max="7" width="10.83203125" style="2" customWidth="1"/>
    <col min="8" max="16384" width="10.83203125" style="2"/>
  </cols>
  <sheetData>
    <row r="1" spans="1:13">
      <c r="A1" s="7" t="s">
        <v>145</v>
      </c>
      <c r="B1" s="7" t="s">
        <v>146</v>
      </c>
      <c r="C1" s="7" t="s">
        <v>147</v>
      </c>
      <c r="D1" s="7" t="s">
        <v>148</v>
      </c>
      <c r="E1" s="7" t="s">
        <v>149</v>
      </c>
      <c r="F1" s="22" t="s">
        <v>150</v>
      </c>
      <c r="H1" s="5" t="s">
        <v>151</v>
      </c>
      <c r="K1" s="6">
        <f>MEDIAN(D2:D21)</f>
        <v>0.7403676210675143</v>
      </c>
      <c r="L1" s="6">
        <f>MEDIAN(E2:E31)</f>
        <v>49</v>
      </c>
      <c r="M1" s="23">
        <f>MEDIAN(F2:F31)</f>
        <v>1.534197765786259E-2</v>
      </c>
    </row>
    <row r="2" spans="1:13">
      <c r="A2" s="2">
        <v>1</v>
      </c>
      <c r="B2" s="3">
        <v>0.58799999999999997</v>
      </c>
      <c r="C2" s="3">
        <v>0.54100000000000004</v>
      </c>
      <c r="D2" s="10">
        <f t="shared" ref="D2:D31" si="0">2*B2*C2/(B2+C2)</f>
        <v>0.56352170062001772</v>
      </c>
      <c r="E2" s="2">
        <v>37</v>
      </c>
      <c r="F2" s="34">
        <f t="shared" ref="F2:F31" si="1">D2/E2</f>
        <v>1.5230316232973452E-2</v>
      </c>
      <c r="H2" s="5" t="s">
        <v>152</v>
      </c>
      <c r="K2" s="6">
        <f>AVERAGE(D2:D21)</f>
        <v>0.72146835852339075</v>
      </c>
      <c r="L2" s="6">
        <f>AVERAGE(E2:E31)</f>
        <v>50.466666666666669</v>
      </c>
      <c r="M2" s="23">
        <f>AVERAGE(F2:F31)</f>
        <v>1.544249717606402E-2</v>
      </c>
    </row>
    <row r="3" spans="1:13">
      <c r="A3" s="2">
        <v>2</v>
      </c>
      <c r="B3" s="3">
        <v>0.82857142857142796</v>
      </c>
      <c r="C3" s="3">
        <v>0.82857142857142796</v>
      </c>
      <c r="D3" s="10">
        <f t="shared" si="0"/>
        <v>0.82857142857142796</v>
      </c>
      <c r="E3" s="2">
        <v>67</v>
      </c>
      <c r="F3" s="34">
        <f t="shared" si="1"/>
        <v>1.2366737739872059E-2</v>
      </c>
      <c r="H3" s="5" t="s">
        <v>153</v>
      </c>
      <c r="L3" s="5">
        <f>_xlfn.QUARTILE.INC(E2:E31,1)</f>
        <v>41.25</v>
      </c>
      <c r="M3" s="23">
        <f>_xlfn.QUARTILE.INC(F2:F31,1)</f>
        <v>1.2869848675782914E-2</v>
      </c>
    </row>
    <row r="4" spans="1:13">
      <c r="A4" s="2">
        <v>3</v>
      </c>
      <c r="B4" s="3">
        <v>0.91176470588235203</v>
      </c>
      <c r="C4" s="3">
        <v>0.91176470588235203</v>
      </c>
      <c r="D4" s="10">
        <f t="shared" si="0"/>
        <v>0.91176470588235203</v>
      </c>
      <c r="E4" s="2">
        <v>58</v>
      </c>
      <c r="F4" s="34">
        <f t="shared" si="1"/>
        <v>1.5720081135902623E-2</v>
      </c>
      <c r="H4" s="5" t="s">
        <v>154</v>
      </c>
      <c r="L4" s="5">
        <f>_xlfn.QUARTILE.INC(E3:E32,3)</f>
        <v>58</v>
      </c>
      <c r="M4" s="23">
        <f>_xlfn.QUARTILE.INC(F3:F32,3)</f>
        <v>1.8617021276595744E-2</v>
      </c>
    </row>
    <row r="5" spans="1:13">
      <c r="A5" s="2">
        <v>4</v>
      </c>
      <c r="B5" s="3">
        <v>0.8</v>
      </c>
      <c r="C5" s="3">
        <v>0.77777777777777701</v>
      </c>
      <c r="D5" s="10">
        <f t="shared" si="0"/>
        <v>0.7887323943661968</v>
      </c>
      <c r="E5" s="2">
        <v>47</v>
      </c>
      <c r="F5" s="34">
        <f t="shared" si="1"/>
        <v>1.6781540305663763E-2</v>
      </c>
      <c r="H5" s="5" t="s">
        <v>155</v>
      </c>
      <c r="L5" s="5">
        <f>L4-L3</f>
        <v>16.75</v>
      </c>
      <c r="M5" s="23">
        <f>M4-M3</f>
        <v>5.7471726008128301E-3</v>
      </c>
    </row>
    <row r="6" spans="1:13">
      <c r="A6" s="2">
        <v>5</v>
      </c>
      <c r="B6" s="4">
        <v>0.75757575757575701</v>
      </c>
      <c r="C6" s="4">
        <v>0.67567567567567499</v>
      </c>
      <c r="D6" s="10">
        <f t="shared" si="0"/>
        <v>0.71428571428571364</v>
      </c>
      <c r="E6" s="2">
        <v>35</v>
      </c>
      <c r="F6" s="34">
        <f t="shared" si="1"/>
        <v>2.0408163265306103E-2</v>
      </c>
    </row>
    <row r="7" spans="1:13">
      <c r="A7" s="2">
        <v>6</v>
      </c>
      <c r="B7" s="3">
        <v>0.75757575757575701</v>
      </c>
      <c r="C7" s="3">
        <v>0.69444444444444398</v>
      </c>
      <c r="D7" s="10">
        <f t="shared" si="0"/>
        <v>0.72463768115941973</v>
      </c>
      <c r="E7" s="2">
        <v>45</v>
      </c>
      <c r="F7" s="34">
        <f t="shared" si="1"/>
        <v>1.6103059581320439E-2</v>
      </c>
    </row>
    <row r="8" spans="1:13">
      <c r="A8" s="2">
        <v>7</v>
      </c>
      <c r="B8" s="3">
        <v>0.55882352941176405</v>
      </c>
      <c r="C8" s="3">
        <v>0.51351351351351304</v>
      </c>
      <c r="D8" s="10">
        <f t="shared" si="0"/>
        <v>0.5352112676056332</v>
      </c>
      <c r="E8" s="2">
        <v>57</v>
      </c>
      <c r="F8" s="34">
        <f t="shared" si="1"/>
        <v>9.3896713615023372E-3</v>
      </c>
    </row>
    <row r="9" spans="1:13">
      <c r="A9" s="2">
        <v>8</v>
      </c>
      <c r="B9" s="3">
        <v>1</v>
      </c>
      <c r="C9" s="3">
        <v>0.939393939393939</v>
      </c>
      <c r="D9" s="10">
        <f t="shared" si="0"/>
        <v>0.96874999999999978</v>
      </c>
      <c r="E9" s="2">
        <v>65</v>
      </c>
      <c r="F9" s="34">
        <f t="shared" si="1"/>
        <v>1.4903846153846151E-2</v>
      </c>
    </row>
    <row r="10" spans="1:13">
      <c r="A10" s="2">
        <v>9</v>
      </c>
      <c r="B10" s="3">
        <v>0.875</v>
      </c>
      <c r="C10" s="3">
        <v>0.875</v>
      </c>
      <c r="D10" s="10">
        <f t="shared" si="0"/>
        <v>0.875</v>
      </c>
      <c r="E10" s="2">
        <v>47</v>
      </c>
      <c r="F10" s="34">
        <f t="shared" si="1"/>
        <v>1.8617021276595744E-2</v>
      </c>
    </row>
    <row r="11" spans="1:13">
      <c r="A11" s="2">
        <v>10</v>
      </c>
      <c r="B11" s="4">
        <v>0.688888888888888</v>
      </c>
      <c r="C11" s="4">
        <v>0.83783783783783705</v>
      </c>
      <c r="D11" s="10">
        <f t="shared" si="0"/>
        <v>0.75609756097560887</v>
      </c>
      <c r="E11" s="2">
        <v>51</v>
      </c>
      <c r="F11" s="34">
        <f t="shared" si="1"/>
        <v>1.4825442372070763E-2</v>
      </c>
    </row>
    <row r="12" spans="1:13">
      <c r="A12" s="2">
        <v>11</v>
      </c>
      <c r="B12" s="3">
        <v>0.625</v>
      </c>
      <c r="C12" s="3">
        <v>0.52631578947368396</v>
      </c>
      <c r="D12" s="10">
        <f t="shared" si="0"/>
        <v>0.57142857142857129</v>
      </c>
      <c r="E12" s="2">
        <v>42</v>
      </c>
      <c r="F12" s="34">
        <f t="shared" si="1"/>
        <v>1.3605442176870744E-2</v>
      </c>
    </row>
    <row r="13" spans="1:13">
      <c r="A13" s="2">
        <v>12</v>
      </c>
      <c r="B13" s="3">
        <v>0.96551724137931005</v>
      </c>
      <c r="C13" s="3">
        <v>0.8</v>
      </c>
      <c r="D13" s="10">
        <f t="shared" si="0"/>
        <v>0.87499999999999989</v>
      </c>
      <c r="E13" s="2">
        <v>35</v>
      </c>
      <c r="F13" s="34">
        <f t="shared" si="1"/>
        <v>2.4999999999999998E-2</v>
      </c>
    </row>
    <row r="14" spans="1:13">
      <c r="A14" s="2">
        <v>13</v>
      </c>
      <c r="B14" s="3">
        <v>0.59090909090909005</v>
      </c>
      <c r="C14" s="3">
        <v>0.68421052631578905</v>
      </c>
      <c r="D14" s="10">
        <f t="shared" si="0"/>
        <v>0.63414634146341398</v>
      </c>
      <c r="E14" s="2">
        <v>71</v>
      </c>
      <c r="F14" s="34">
        <f t="shared" si="1"/>
        <v>8.93163861216076E-3</v>
      </c>
    </row>
    <row r="15" spans="1:13">
      <c r="A15" s="2">
        <v>14</v>
      </c>
      <c r="B15" s="3">
        <v>0.5</v>
      </c>
      <c r="C15" s="3">
        <v>0.55263157894736803</v>
      </c>
      <c r="D15" s="10">
        <f t="shared" si="0"/>
        <v>0.5249999999999998</v>
      </c>
      <c r="E15" s="2">
        <v>66</v>
      </c>
      <c r="F15" s="34">
        <f t="shared" si="1"/>
        <v>7.954545454545452E-3</v>
      </c>
    </row>
    <row r="16" spans="1:13">
      <c r="A16" s="2">
        <v>15</v>
      </c>
      <c r="B16" s="3">
        <v>0.83870967741935398</v>
      </c>
      <c r="C16" s="3">
        <v>0.72222222222222199</v>
      </c>
      <c r="D16" s="10">
        <f t="shared" si="0"/>
        <v>0.77611940298507409</v>
      </c>
      <c r="E16" s="2">
        <v>34</v>
      </c>
      <c r="F16" s="34">
        <f t="shared" si="1"/>
        <v>2.2827041264266885E-2</v>
      </c>
    </row>
    <row r="17" spans="1:6">
      <c r="A17" s="2">
        <v>16</v>
      </c>
      <c r="B17" s="3">
        <v>0.66666666666666596</v>
      </c>
      <c r="C17" s="3">
        <v>0.48648648648648601</v>
      </c>
      <c r="D17" s="10">
        <f t="shared" si="0"/>
        <v>0.56249999999999944</v>
      </c>
      <c r="E17" s="2">
        <v>70</v>
      </c>
      <c r="F17" s="34">
        <f t="shared" si="1"/>
        <v>8.035714285714278E-3</v>
      </c>
    </row>
    <row r="18" spans="1:6">
      <c r="A18" s="2">
        <v>17</v>
      </c>
      <c r="B18" s="3">
        <v>0.91428571428571404</v>
      </c>
      <c r="C18" s="3">
        <v>0.84210526315789402</v>
      </c>
      <c r="D18" s="10">
        <f t="shared" si="0"/>
        <v>0.87671232876712291</v>
      </c>
      <c r="E18" s="2">
        <v>63</v>
      </c>
      <c r="F18" s="34">
        <f t="shared" si="1"/>
        <v>1.3916068710589253E-2</v>
      </c>
    </row>
    <row r="19" spans="1:6">
      <c r="A19" s="2">
        <v>18</v>
      </c>
      <c r="B19" s="3">
        <v>0.72727272727272696</v>
      </c>
      <c r="C19" s="3">
        <v>0.88888888888888795</v>
      </c>
      <c r="D19" s="10">
        <f t="shared" si="0"/>
        <v>0.79999999999999938</v>
      </c>
      <c r="E19" s="2">
        <v>45</v>
      </c>
      <c r="F19" s="34">
        <f t="shared" si="1"/>
        <v>1.7777777777777764E-2</v>
      </c>
    </row>
    <row r="20" spans="1:6">
      <c r="A20" s="2">
        <v>19</v>
      </c>
      <c r="B20" s="3">
        <v>0.5</v>
      </c>
      <c r="C20" s="3">
        <v>0.61538461538461497</v>
      </c>
      <c r="D20" s="10">
        <f t="shared" si="0"/>
        <v>0.55172413793103436</v>
      </c>
      <c r="E20" s="2">
        <v>43</v>
      </c>
      <c r="F20" s="34">
        <f t="shared" si="1"/>
        <v>1.2830793905372893E-2</v>
      </c>
    </row>
    <row r="21" spans="1:6">
      <c r="A21" s="2">
        <v>20</v>
      </c>
      <c r="B21" s="3">
        <v>0.66666666666666596</v>
      </c>
      <c r="C21" s="3">
        <v>0.52941176470588203</v>
      </c>
      <c r="D21" s="10">
        <f t="shared" si="0"/>
        <v>0.59016393442622905</v>
      </c>
      <c r="E21" s="2">
        <v>41</v>
      </c>
      <c r="F21" s="34">
        <f t="shared" si="1"/>
        <v>1.4394242303078758E-2</v>
      </c>
    </row>
    <row r="22" spans="1:6">
      <c r="A22" s="2">
        <v>21</v>
      </c>
      <c r="B22" s="3">
        <v>0.8</v>
      </c>
      <c r="C22" s="3">
        <v>0.77777777777777701</v>
      </c>
      <c r="D22" s="10">
        <f t="shared" si="0"/>
        <v>0.7887323943661968</v>
      </c>
      <c r="E22" s="2">
        <v>40</v>
      </c>
      <c r="F22" s="34">
        <f t="shared" si="1"/>
        <v>1.9718309859154921E-2</v>
      </c>
    </row>
    <row r="23" spans="1:6">
      <c r="A23" s="2">
        <v>22</v>
      </c>
      <c r="B23" s="3">
        <v>0.58799999999999997</v>
      </c>
      <c r="C23" s="3">
        <v>0.54100000000000004</v>
      </c>
      <c r="D23" s="10">
        <f t="shared" si="0"/>
        <v>0.56352170062001772</v>
      </c>
      <c r="E23" s="2">
        <v>47</v>
      </c>
      <c r="F23" s="34">
        <f t="shared" si="1"/>
        <v>1.1989823417447186E-2</v>
      </c>
    </row>
    <row r="24" spans="1:6">
      <c r="A24" s="2">
        <v>23</v>
      </c>
      <c r="B24" s="3">
        <v>0.875</v>
      </c>
      <c r="C24" s="3">
        <v>0.875</v>
      </c>
      <c r="D24" s="10">
        <f t="shared" si="0"/>
        <v>0.875</v>
      </c>
      <c r="E24" s="2">
        <v>56</v>
      </c>
      <c r="F24" s="34">
        <f t="shared" si="1"/>
        <v>1.5625E-2</v>
      </c>
    </row>
    <row r="25" spans="1:6">
      <c r="A25" s="2">
        <v>24</v>
      </c>
      <c r="B25" s="3">
        <v>1</v>
      </c>
      <c r="C25" s="3">
        <v>0.939393939393939</v>
      </c>
      <c r="D25" s="10">
        <f t="shared" si="0"/>
        <v>0.96874999999999978</v>
      </c>
      <c r="E25" s="2">
        <v>55</v>
      </c>
      <c r="F25" s="34">
        <f t="shared" si="1"/>
        <v>1.7613636363636359E-2</v>
      </c>
    </row>
    <row r="26" spans="1:6">
      <c r="A26" s="2">
        <v>25</v>
      </c>
      <c r="B26" s="3">
        <v>1</v>
      </c>
      <c r="C26" s="3">
        <v>0.939393939393939</v>
      </c>
      <c r="D26" s="10">
        <f t="shared" si="0"/>
        <v>0.96874999999999978</v>
      </c>
      <c r="E26" s="2">
        <v>52</v>
      </c>
      <c r="F26" s="34">
        <f t="shared" si="1"/>
        <v>1.8629807692307689E-2</v>
      </c>
    </row>
    <row r="27" spans="1:6">
      <c r="A27" s="2">
        <v>26</v>
      </c>
      <c r="B27" s="3">
        <v>0.75757575757575701</v>
      </c>
      <c r="C27" s="3">
        <v>0.67567567567567499</v>
      </c>
      <c r="D27" s="10">
        <f t="shared" si="0"/>
        <v>0.71428571428571364</v>
      </c>
      <c r="E27" s="2">
        <v>55</v>
      </c>
      <c r="F27" s="34">
        <f t="shared" si="1"/>
        <v>1.2987012987012976E-2</v>
      </c>
    </row>
    <row r="28" spans="1:6">
      <c r="A28" s="2">
        <v>27</v>
      </c>
      <c r="B28" s="3">
        <v>0.8</v>
      </c>
      <c r="C28" s="3">
        <v>0.77777777777777701</v>
      </c>
      <c r="D28" s="10">
        <f t="shared" si="0"/>
        <v>0.7887323943661968</v>
      </c>
      <c r="E28" s="2">
        <v>36</v>
      </c>
      <c r="F28" s="34">
        <f t="shared" si="1"/>
        <v>2.1909233176838801E-2</v>
      </c>
    </row>
    <row r="29" spans="1:6">
      <c r="A29" s="2">
        <v>28</v>
      </c>
      <c r="B29" s="3">
        <v>0.91176470588235203</v>
      </c>
      <c r="C29" s="3">
        <v>0.91176470588235203</v>
      </c>
      <c r="D29" s="10">
        <f t="shared" si="0"/>
        <v>0.91176470588235203</v>
      </c>
      <c r="E29" s="2">
        <v>59</v>
      </c>
      <c r="F29" s="34">
        <f t="shared" si="1"/>
        <v>1.5453639082751729E-2</v>
      </c>
    </row>
    <row r="30" spans="1:6">
      <c r="A30" s="2">
        <v>29</v>
      </c>
      <c r="B30" s="3">
        <v>0.72727272727272696</v>
      </c>
      <c r="C30" s="3">
        <v>0.88888888888888795</v>
      </c>
      <c r="D30" s="10">
        <f t="shared" si="0"/>
        <v>0.79999999999999938</v>
      </c>
      <c r="E30" s="2">
        <v>41</v>
      </c>
      <c r="F30" s="34">
        <f t="shared" si="1"/>
        <v>1.9512195121951206E-2</v>
      </c>
    </row>
    <row r="31" spans="1:6">
      <c r="A31" s="2">
        <v>30</v>
      </c>
      <c r="B31" s="3">
        <v>0.5</v>
      </c>
      <c r="C31" s="3">
        <v>0.61538461538461497</v>
      </c>
      <c r="D31" s="10">
        <f t="shared" si="0"/>
        <v>0.55172413793103436</v>
      </c>
      <c r="E31" s="2">
        <v>54</v>
      </c>
      <c r="F31" s="34">
        <f t="shared" si="1"/>
        <v>1.0217113665389525E-2</v>
      </c>
    </row>
  </sheetData>
  <autoFilter ref="A1:E1" xr:uid="{00000000-0009-0000-0000-000001000000}">
    <sortState xmlns:xlrd2="http://schemas.microsoft.com/office/spreadsheetml/2017/richdata2" ref="A2:E21">
      <sortCondition ref="A1:A2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6"/>
  <sheetViews>
    <sheetView workbookViewId="0">
      <selection activeCell="A21" sqref="A21:B21"/>
    </sheetView>
  </sheetViews>
  <sheetFormatPr baseColWidth="10" defaultRowHeight="16"/>
  <cols>
    <col min="1" max="1" width="28" bestFit="1" customWidth="1"/>
    <col min="2" max="2" width="11.6640625" bestFit="1" customWidth="1"/>
    <col min="3" max="3" width="11.33203125" style="25" bestFit="1" customWidth="1"/>
    <col min="4" max="4" width="22.33203125" bestFit="1" customWidth="1"/>
    <col min="6" max="6" width="1.33203125" customWidth="1"/>
    <col min="9" max="9" width="1.33203125" customWidth="1"/>
    <col min="11" max="11" width="11.33203125" bestFit="1" customWidth="1"/>
  </cols>
  <sheetData>
    <row r="1" spans="1:3" s="5" customFormat="1">
      <c r="A1" s="41" t="s">
        <v>156</v>
      </c>
      <c r="B1" s="44"/>
      <c r="C1" s="1"/>
    </row>
    <row r="2" spans="1:3">
      <c r="A2" s="1" t="s">
        <v>157</v>
      </c>
      <c r="B2" s="1" t="s">
        <v>158</v>
      </c>
      <c r="C2" s="1" t="s">
        <v>159</v>
      </c>
    </row>
    <row r="3" spans="1:3">
      <c r="A3" t="s">
        <v>160</v>
      </c>
      <c r="B3">
        <f>COUNTA(Questionary!B3:B32)</f>
        <v>30</v>
      </c>
    </row>
    <row r="4" spans="1:3">
      <c r="A4" t="s">
        <v>161</v>
      </c>
      <c r="B4">
        <f>COUNTIF(Questionary!D3:D32,"Man")</f>
        <v>26</v>
      </c>
    </row>
    <row r="5" spans="1:3">
      <c r="A5" t="s">
        <v>162</v>
      </c>
      <c r="B5">
        <f>COUNTIF(Questionary!D3:D32,"Woman")</f>
        <v>4</v>
      </c>
    </row>
    <row r="6" spans="1:3">
      <c r="A6" t="s">
        <v>163</v>
      </c>
      <c r="B6" s="11">
        <f>MEDIAN(Questionary!C3:C32)</f>
        <v>27</v>
      </c>
      <c r="C6" s="25" t="str">
        <f>TRUNC(_xlfn.QUARTILE.INC(Questionary!C3:C32,1),3) &amp; "–" &amp; TRUNC(_xlfn.QUARTILE.INC(Questionary!C3:C32,3),3)</f>
        <v>23.75–38.25</v>
      </c>
    </row>
    <row r="7" spans="1:3">
      <c r="A7" t="s">
        <v>164</v>
      </c>
      <c r="B7" s="11">
        <f>MIN(Questionary!C3:C32)</f>
        <v>20</v>
      </c>
    </row>
    <row r="8" spans="1:3">
      <c r="A8" t="s">
        <v>165</v>
      </c>
      <c r="B8" s="11">
        <f>MAX(Questionary!C3:C32)</f>
        <v>50</v>
      </c>
    </row>
    <row r="9" spans="1:3">
      <c r="A9" t="s">
        <v>166</v>
      </c>
      <c r="B9">
        <f>MEDIAN(Questionary!I3:I32)</f>
        <v>5</v>
      </c>
      <c r="C9" s="25" t="str">
        <f>TRUNC(_xlfn.QUARTILE.INC(Questionary!I3:I32,1),3) &amp; "–" &amp; TRUNC(_xlfn.QUARTILE.INC(Questionary!I3:I32,3),3)</f>
        <v>2–14</v>
      </c>
    </row>
    <row r="10" spans="1:3">
      <c r="A10" t="s">
        <v>167</v>
      </c>
      <c r="B10">
        <f>MEDIAN(Questionary!J3:J32)</f>
        <v>3</v>
      </c>
      <c r="C10" s="25" t="str">
        <f>TRUNC(_xlfn.QUARTILE.INC(Questionary!J3:J32,1),3) &amp; "–" &amp; TRUNC(_xlfn.QUARTILE.INC(Questionary!J3:J32,3),3)</f>
        <v>1–5</v>
      </c>
    </row>
    <row r="11" spans="1:3">
      <c r="A11" t="s">
        <v>168</v>
      </c>
      <c r="B11">
        <f>MEDIAN(Questionary!L3:L32)</f>
        <v>2</v>
      </c>
      <c r="C11" s="25" t="str">
        <f>TRUNC(_xlfn.QUARTILE.INC(Questionary!L3:L32,1),3) &amp; "–" &amp; TRUNC(_xlfn.QUARTILE.INC(Questionary!L3:L32,3),3)</f>
        <v>1–4</v>
      </c>
    </row>
    <row r="12" spans="1:3">
      <c r="A12" t="s">
        <v>169</v>
      </c>
      <c r="B12">
        <v>18</v>
      </c>
    </row>
    <row r="13" spans="1:3">
      <c r="A13" t="s">
        <v>170</v>
      </c>
      <c r="B13">
        <f>COUNTIFS(Questionary!L3:L32,"&gt;=3",Questionary!L3:L32,"&lt;=5")</f>
        <v>12</v>
      </c>
    </row>
    <row r="15" spans="1:3">
      <c r="A15" s="41" t="s">
        <v>171</v>
      </c>
      <c r="B15" s="42"/>
    </row>
    <row r="16" spans="1:3">
      <c r="A16" s="1" t="s">
        <v>172</v>
      </c>
      <c r="B16" s="1" t="s">
        <v>173</v>
      </c>
      <c r="C16" s="1" t="s">
        <v>174</v>
      </c>
    </row>
    <row r="17" spans="1:3">
      <c r="A17" t="s">
        <v>175</v>
      </c>
      <c r="B17" s="28">
        <f>MEDIAN(Task!E2:E31)</f>
        <v>49</v>
      </c>
      <c r="C17" s="25" t="str">
        <f>_xlfn.QUARTILE.INC(Task!E2:E31,1) &amp; "–" &amp; _xlfn.QUARTILE.INC(Task!E2:E31,3)</f>
        <v>41.25–57.75</v>
      </c>
    </row>
    <row r="18" spans="1:3">
      <c r="A18" t="s">
        <v>148</v>
      </c>
      <c r="B18" s="28">
        <f>MEDIAN(Task!D2:D31)</f>
        <v>0.78242589867563539</v>
      </c>
      <c r="C18" s="25" t="str">
        <f>TRUNC(_xlfn.QUARTILE.INC(Task!D2:D31,1),3) &amp; "–" &amp; TRUNC(_xlfn.QUARTILE.INC(Task!D2:D31,3),3)</f>
        <v>0.576–0.875</v>
      </c>
    </row>
    <row r="19" spans="1:3">
      <c r="A19" t="s">
        <v>150</v>
      </c>
      <c r="B19" s="28">
        <f>MEDIAN(Task!F2:F31)</f>
        <v>1.534197765786259E-2</v>
      </c>
      <c r="C19" s="25" t="str">
        <f>TRUNC(_xlfn.QUARTILE.INC(Task!F2:F31,1),3) &amp; "–" &amp; TRUNC(_xlfn.QUARTILE.INC(Task!F2:F31,3),3)</f>
        <v>0.012–0.018</v>
      </c>
    </row>
    <row r="21" spans="1:3">
      <c r="A21" s="41" t="s">
        <v>176</v>
      </c>
      <c r="B21" s="42"/>
    </row>
    <row r="22" spans="1:3">
      <c r="A22" s="5" t="s">
        <v>177</v>
      </c>
      <c r="B22" s="5" t="s">
        <v>158</v>
      </c>
      <c r="C22" s="1" t="s">
        <v>174</v>
      </c>
    </row>
    <row r="23" spans="1:3">
      <c r="A23" t="s">
        <v>178</v>
      </c>
      <c r="B23">
        <f>MEDIAN(Questionary!X3:X32)</f>
        <v>76.25</v>
      </c>
      <c r="C23" s="25" t="str">
        <f>TRUNC(_xlfn.QUARTILE.INC(Questionary!X3:X32,1),3) &amp; "–" &amp; TRUNC(_xlfn.QUARTILE.INC(Questionary!X3:X32,3),3)</f>
        <v>65.625–85</v>
      </c>
    </row>
    <row r="24" spans="1:3">
      <c r="A24" t="s">
        <v>179</v>
      </c>
      <c r="B24" s="26">
        <f>COUNTIF(Questionary!X3:X32,"&gt;=70")/COUNTA(Questionary!X3:X32)</f>
        <v>0.7</v>
      </c>
    </row>
    <row r="26" spans="1:3">
      <c r="A26" s="41" t="s">
        <v>180</v>
      </c>
      <c r="B26" s="42"/>
      <c r="C26" s="43"/>
    </row>
    <row r="27" spans="1:3">
      <c r="A27" s="5" t="s">
        <v>181</v>
      </c>
      <c r="B27" s="1" t="s">
        <v>173</v>
      </c>
      <c r="C27" s="1" t="s">
        <v>174</v>
      </c>
    </row>
    <row r="28" spans="1:3">
      <c r="A28" s="5" t="s">
        <v>182</v>
      </c>
      <c r="B28">
        <f>MEDIAN(Questionary!Y3:Y32)</f>
        <v>4</v>
      </c>
      <c r="C28" s="25" t="str">
        <f>_xlfn.QUARTILE.INC(Questionary!Y3:Y32,1) &amp; "–" &amp; _xlfn.QUARTILE.INC(Questionary!Y3:Y32,3)</f>
        <v>4–5</v>
      </c>
    </row>
    <row r="29" spans="1:3">
      <c r="A29" s="5" t="s">
        <v>183</v>
      </c>
      <c r="B29">
        <f>MEDIAN(Questionary!Z3:Z32)</f>
        <v>5</v>
      </c>
      <c r="C29" s="25" t="str">
        <f>_xlfn.QUARTILE.INC(Questionary!Z3:Z32,1) &amp; "–" &amp; _xlfn.QUARTILE.INC(Questionary!Z3:Z32,3)</f>
        <v>4–5</v>
      </c>
    </row>
    <row r="30" spans="1:3">
      <c r="A30" s="5" t="s">
        <v>184</v>
      </c>
      <c r="B30">
        <f>MEDIAN(Questionary!AA3:AA32)</f>
        <v>4</v>
      </c>
      <c r="C30" s="25" t="str">
        <f>_xlfn.QUARTILE.INC(Questionary!AA3:AA32,1) &amp; "–" &amp; _xlfn.QUARTILE.INC(Questionary!AA3:AA32,3)</f>
        <v>4–5</v>
      </c>
    </row>
    <row r="31" spans="1:3">
      <c r="A31" s="5" t="s">
        <v>185</v>
      </c>
      <c r="B31">
        <f>MEDIAN(Questionary!AB3:AB32)</f>
        <v>4</v>
      </c>
      <c r="C31" s="25" t="str">
        <f>_xlfn.QUARTILE.INC(Questionary!AB3:AB32,1) &amp; "–" &amp; _xlfn.QUARTILE.INC(Questionary!AB3:AB32,3)</f>
        <v>3–4</v>
      </c>
    </row>
    <row r="32" spans="1:3">
      <c r="A32" s="5" t="s">
        <v>186</v>
      </c>
      <c r="B32">
        <f>MEDIAN(Questionary!AC3:AC32)</f>
        <v>4</v>
      </c>
      <c r="C32" s="25" t="str">
        <f>_xlfn.QUARTILE.INC(Questionary!AC3:AC32,1) &amp; "–" &amp; _xlfn.QUARTILE.INC(Questionary!AC3:AC32,3)</f>
        <v>3.25–5</v>
      </c>
    </row>
    <row r="33" spans="1:3">
      <c r="A33" s="5" t="s">
        <v>187</v>
      </c>
      <c r="B33">
        <f>MEDIAN(Questionary!AD3:AD32)</f>
        <v>4</v>
      </c>
      <c r="C33" s="25" t="str">
        <f>_xlfn.QUARTILE.INC(Questionary!AD3:AD32,1) &amp; "–" &amp; _xlfn.QUARTILE.INC(Questionary!AD3:AD32,3)</f>
        <v>3–5</v>
      </c>
    </row>
    <row r="35" spans="1:3">
      <c r="A35" s="22" t="s">
        <v>188</v>
      </c>
      <c r="B35" s="28">
        <f t="array" ref="B35">_xlfn.LET(
    _xlpm.grupo, Questionary!M2:M21,
    _xlpm.valores, Task!F2:F21,
    _xlpm.x, _xlfn._xlws.FILTER(_xlpm.valores, _xlpm.grupo="Novice"),
    _xlpm.y, _xlfn._xlws.FILTER(_xlpm.valores, _xlpm.grupo="Experienced"),
    _xlpm.nx, ROWS(_xlpm.x),
    _xlpm.ny, ROWS(_xlpm.y),
    _xlpm.gt, SUMPRODUCT(--(_xlpm.x&gt;TRANSPOSE(_xlpm.y))),
    _xlpm.lt, SUMPRODUCT(--(_xlpm.x&lt;TRANSPOSE(_xlpm.y))),
    (_xlpm.gt-_xlpm.lt)/(_xlpm.nx*_xlpm.ny)
)</f>
        <v>0.28888888888888886</v>
      </c>
    </row>
    <row r="36" spans="1:3">
      <c r="A36" s="22" t="s">
        <v>189</v>
      </c>
      <c r="B36" s="28">
        <f t="array" ref="B36">_xlfn.LET(
    _xlpm.grupo, Questionary!M2:M21,
    _xlpm.sus, Questionary!W2:W21,
    _xlpm.x, _xlfn._xlws.FILTER(_xlpm.sus, _xlpm.grupo="Novice"),
    _xlpm.y, _xlfn._xlws.FILTER(_xlpm.sus, _xlpm.grupo="Experienced"),
    _xlpm.nx, ROWS(_xlpm.x),
    _xlpm.ny, ROWS(_xlpm.y),
    _xlpm.gt, SUMPRODUCT(--(_xlpm.x&gt;TRANSPOSE(_xlpm.y))),
    _xlpm.lt, SUMPRODUCT(--(_xlpm.x&lt;TRANSPOSE(_xlpm.y))),
    (_xlpm.gt-_xlpm.lt)/(_xlpm.nx*_xlpm.ny)
)</f>
        <v>6.6666666666666666E-2</v>
      </c>
    </row>
  </sheetData>
  <mergeCells count="4">
    <mergeCell ref="A26:C26"/>
    <mergeCell ref="A21:B21"/>
    <mergeCell ref="A1:B1"/>
    <mergeCell ref="A15:B15"/>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Questionary</vt:lpstr>
      <vt:lpstr>Task</vt:lpstr>
      <vt:lpstr>Summary</vt:lpstr>
      <vt:lpstr>Questionary!Intino_Usability_Study__respuestas____Respuestas_de_formulario_1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OCTAVIO RONCAL ANDRÉS</dc:creator>
  <cp:lastModifiedBy>OCTAVIO RONCAL ANDRÉS</cp:lastModifiedBy>
  <dcterms:created xsi:type="dcterms:W3CDTF">2025-11-17T07:59:07Z</dcterms:created>
  <dcterms:modified xsi:type="dcterms:W3CDTF">2026-01-23T15:04:39Z</dcterms:modified>
</cp:coreProperties>
</file>